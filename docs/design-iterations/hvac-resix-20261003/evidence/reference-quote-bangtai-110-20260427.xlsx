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空调配置选型表" sheetId="1" r:id="rId1"/>
    <sheet name="新风设备表" sheetId="7" state="hidden" r:id="rId2"/>
    <sheet name="名称管理器" sheetId="3" state="hidden" r:id="rId3"/>
    <sheet name="室内机清单" sheetId="4" state="hidden" r:id="rId4"/>
    <sheet name="室外机清单" sheetId="5" state="hidden" r:id="rId5"/>
  </sheets>
  <definedNames>
    <definedName name="_xlnm._FilterDatabase" localSheetId="3" hidden="1">室内机清单!$A$1:$L$159</definedName>
    <definedName name="_xlnm._FilterDatabase" localSheetId="4" hidden="1">室外机清单!$A$1:$I$137</definedName>
    <definedName name="GC">名称管理器!$P$2:$P$11</definedName>
    <definedName name="GC系列客卧式室内机">名称管理器!$K$15:$K$33</definedName>
    <definedName name="GC系列室外机">名称管理器!$M$46:$M$60</definedName>
    <definedName name="MDSII">名称管理器!#REF!</definedName>
    <definedName name="MDSIII">名称管理器!$R$2:$R$11</definedName>
    <definedName name="MDSIII系列室外机">名称管理器!$L$46:$L$60</definedName>
    <definedName name="MDSII系列室外机">名称管理器!$P$46:$P$60</definedName>
    <definedName name="MJV_120W_B_E01_SJ">新风设备表!$H$17:$I$17</definedName>
    <definedName name="MJV_120W_E01_LHⅢ">新风设备表!$H$5:$I$5</definedName>
    <definedName name="MJV_120W_E01_MZ">名称管理器!$D$46:$S$46</definedName>
    <definedName name="MJV_120W_E01_SJⅡ">新风设备表!$H$23:$I$23</definedName>
    <definedName name="MJV_120W_E01_TS">新风设备表!$H$13:$I$13</definedName>
    <definedName name="MJV_140W_B_E01_SJ">新风设备表!$H$18:$I$18</definedName>
    <definedName name="MJV_140W_E01_LHⅢ">新风设备表!$H$6:$I$6</definedName>
    <definedName name="MJV_140W_E01_MZ">名称管理器!$D$47:$S$47</definedName>
    <definedName name="MJV_140W_E01_SJⅡ">新风设备表!$H$24:$I$24</definedName>
    <definedName name="MJV_140W_E01_TS">新风设备表!$H$14:$I$14</definedName>
    <definedName name="MJV_160W_B_E01_SJ">新风设备表!$H$19:$I$19</definedName>
    <definedName name="MJV_160W_E01_LHⅢ">新风设备表!$H$7:$I$7</definedName>
    <definedName name="MJV_160W_E01_MZ">名称管理器!$D$48:$S$48</definedName>
    <definedName name="MJV_160W_E01_SJⅡ">新风设备表!$H$25:$I$25</definedName>
    <definedName name="MJV_160W_E01_TS">新风设备表!$H$15:$I$15</definedName>
    <definedName name="MJV_180W_B_E01_SJ">新风设备表!$H$20:$I$20</definedName>
    <definedName name="MJV_180W_E01_LHⅢ">新风设备表!$H$8:$I$8</definedName>
    <definedName name="MJV_180W_E01_MZ">名称管理器!$D$49:$S$49</definedName>
    <definedName name="MJV_180W_E01_SJⅡ">新风设备表!$H$26:$I$26</definedName>
    <definedName name="MJV_180W_E01_TS">新风设备表!$H$16:$I$16</definedName>
    <definedName name="MJV_200W_E01_LHⅢ">新风设备表!$H$9:$I$9</definedName>
    <definedName name="MJV_200W_E01_MZ">名称管理器!$D$50:$S$50</definedName>
    <definedName name="MJV_200W_E01_SJ">新风设备表!$H$21:$I$21</definedName>
    <definedName name="MJV_200W_E01_SJⅡ">新风设备表!$H$27:$I$27</definedName>
    <definedName name="MJV_200W_S_E01_LHⅢ">新风设备表!$H$10:$I$10</definedName>
    <definedName name="MJV_224W_E01_LHⅢ">新风设备表!$H$11:$I$11</definedName>
    <definedName name="MJV_224W_E01_MZ">名称管理器!$D$51:$S$51</definedName>
    <definedName name="MJV_224W_E01_SJ">新风设备表!$H$22:$I$22</definedName>
    <definedName name="MJV_224W_E01_SJⅡ">新风设备表!$H$28:$I$28</definedName>
    <definedName name="MJV_224W_S_E01_LHⅢ">新风设备表!$H$12:$I$12</definedName>
    <definedName name="MJV_280W_S_X8_LHII">新风设备表!$H$3:$I$3</definedName>
    <definedName name="MJV_335W_S_X8_LHII">新风设备表!$H$4:$I$4</definedName>
    <definedName name="_xlnm.Print_Area" localSheetId="0">空调配置选型表!$A$1:$P$39</definedName>
    <definedName name="SFEN_180_N1X_A">新风设备表!$B$25</definedName>
    <definedName name="SFEN_180_N1X_BⅡ">新风设备表!$C$25</definedName>
    <definedName name="SFEN_280_N1X_A">新风设备表!$D$25</definedName>
    <definedName name="TY通用内机">名称管理器!$O$15:$O$33</definedName>
    <definedName name="X空间厨房机">名称管理器!$I$15:$I$33</definedName>
    <definedName name="X新风系列全热交换器">新风设备表!$D$14:$D$17</definedName>
    <definedName name="超薄轻音室内机">名称管理器!$B$15:$B$33</definedName>
    <definedName name="超薄轻音室内机Pro">名称管理器!$C$15:$C$33</definedName>
    <definedName name="厨房式室内机">名称管理器!$L$15:$L$33</definedName>
    <definedName name="厨清凉室内机">名称管理器!$I$15:$I$33</definedName>
    <definedName name="单向流新风机">新风设备表!$C$14:$C$17</definedName>
    <definedName name="对应室内机">名称管理器!$C$2:$R$2</definedName>
    <definedName name="空气梦想家">名称管理器!#REF!</definedName>
    <definedName name="空气梦想家Ⅱ">名称管理器!$F$2:$F$11</definedName>
    <definedName name="空气梦想家Ⅱ室内机">名称管理器!$Q$15:$Q$33</definedName>
    <definedName name="空气梦想家Ⅱ室外机">名称管理器!$N$46:$N$60</definedName>
    <definedName name="空气梦想家Ⅱ系列室外机">名称管理器!$N$46:$N$60</definedName>
    <definedName name="空气梦想家室内机">名称管理器!$M$15:$M$33</definedName>
    <definedName name="空气梦想家室外机">名称管理器!#REF!</definedName>
    <definedName name="空气梦想家系列室外机">名称管理器!#REF!</definedName>
    <definedName name="冷暖双舒适内机">名称管理器!$D$15:$D$33</definedName>
    <definedName name="理想家ⅢPro">名称管理器!#REF!</definedName>
    <definedName name="理想家ⅢPro系列室外机">名称管理器!$J$46:$J$60</definedName>
    <definedName name="理想家II">名称管理器!#REF!</definedName>
    <definedName name="理想家III">名称管理器!$K$2:$K$11</definedName>
    <definedName name="理想家III系列室外机">名称管理器!$I$46:$I$60</definedName>
    <definedName name="理想家II系列室外机">名称管理器!$Q$52:$Q$60</definedName>
    <definedName name="理想家IV">名称管理器!$L$2:$L$11</definedName>
    <definedName name="理想家IV系列室外机">名称管理器!$J$46:$J$60</definedName>
    <definedName name="理想家客卧式室内机">名称管理器!$I$16:$I$32</definedName>
    <definedName name="玲珑II">名称管理器!$O$2:$O$11</definedName>
    <definedName name="玲珑II系列室外机">名称管理器!$K$46:$K$60</definedName>
    <definedName name="玲珑客卧式室内机">名称管理器!#REF!</definedName>
    <definedName name="领航者Ⅱ">名称管理器!$C$2:$C$11</definedName>
    <definedName name="领航者Ⅱ系列室外机">名称管理器!$H$46:$H$60</definedName>
    <definedName name="领航者Ⅲ">名称管理器!$B$2:$B$11</definedName>
    <definedName name="领航者Ⅲ系列室外机">名称管理器!$G$46:$G$60</definedName>
    <definedName name="领航者Ⅳ">名称管理器!$D$2:$D$11</definedName>
    <definedName name="领航者Ⅳ系列室外机">名称管理器!$F$46:$F$60</definedName>
    <definedName name="领航者II">名称管理器!$C$2:$C$8</definedName>
    <definedName name="领航者III">名称管理器!$B$2:$B$5</definedName>
    <definedName name="领航者III系列室外机">名称管理器!$G$46:$G$49</definedName>
    <definedName name="领航者II系列室外机">名称管理器!$H$46:$H$60</definedName>
    <definedName name="领航者除菌室内机">名称管理器!$E$15:$E$33</definedName>
    <definedName name="领航者客卧式室内机">名称管理器!$F$22:$F$32</definedName>
    <definedName name="美家">名称管理器!$J$2:$J$11</definedName>
    <definedName name="美家BE离子云Plus内机">名称管理器!$R$15:$R$33</definedName>
    <definedName name="美家系列室外机">名称管理器!$C$46:$C$60</definedName>
    <definedName name="前装系列">名称管理器!#REF!</definedName>
    <definedName name="前装系列室外机">名称管理器!$N$46:$N$60</definedName>
    <definedName name="前装系列小多联">名称管理器!$J$15:$J$33</definedName>
    <definedName name="全热交换器">新风设备表!$B$14:$B$17</definedName>
    <definedName name="设计家">名称管理器!#REF!</definedName>
    <definedName name="设计家Ⅱ">名称管理器!$E$2:$E$11</definedName>
    <definedName name="设计家Ⅱ系列室外机">名称管理器!$E$46:$E$60</definedName>
    <definedName name="设计家除醛室内机">名称管理器!$G$15:$G$33</definedName>
    <definedName name="设计家客卧式室内机">名称管理器!$H$15:$H$33</definedName>
    <definedName name="设计家青春版">名称管理器!$N$2:$N$11</definedName>
    <definedName name="设计家青春版系列室外机">名称管理器!$P$46:$P$60</definedName>
    <definedName name="设计家系列室外机">名称管理器!$D$46:$D$60</definedName>
    <definedName name="室内机名称">名称管理器!$A$15:$A$33</definedName>
    <definedName name="室内机型号">名称管理器!$B$15:$S$15</definedName>
    <definedName name="室外机名称">名称管理器!$A$46:$A$60</definedName>
    <definedName name="水泵参数">新风设备表!$B$25:$D$25</definedName>
    <definedName name="水力模块型号">新风设备表!$B$25:$D$25</definedName>
    <definedName name="探索家">名称管理器!$G$2:$G$11</definedName>
    <definedName name="探索家室外机">名称管理器!#REF!</definedName>
    <definedName name="探索家系列室外机">名称管理器!$S$46:$S$60</definedName>
    <definedName name="通用内机">名称管理器!$O$15:$O$32</definedName>
    <definedName name="卫浴空调室内机">名称管理器!$S$15:$S$33</definedName>
    <definedName name="系列名称">名称管理器!$A$2:$A$11</definedName>
    <definedName name="新风内机">名称管理器!$F$15:$F$33</definedName>
    <definedName name="星光">名称管理器!$M$2:$M$11</definedName>
    <definedName name="星光pro">名称管理器!$H$2:$H$11</definedName>
    <definedName name="星光pro系列客卧内机">名称管理器!$P$15:$P$33</definedName>
    <definedName name="星光pro系列室外机">名称管理器!$R$46:$R$60</definedName>
    <definedName name="星光系列室外机">名称管理器!$Q$46:$Q$60</definedName>
    <definedName name="雅境">名称管理器!$Q$2:$Q$11</definedName>
    <definedName name="雅境系列室内机">名称管理器!$N$15:$N$33</definedName>
    <definedName name="雅境系列室外机">名称管理器!$O$46:$O$60</definedName>
    <definedName name="智慧家">名称管理器!$I$2:$I$11</definedName>
    <definedName name="智慧家系列室外机">名称管理器!$B$46:$B$60</definedName>
    <definedName name="主机型号">新风设备表!$H$2:$I$2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<sst xmlns="http://schemas.openxmlformats.org/spreadsheetml/2006/main" count="1684" uniqueCount="492">
  <si>
    <t>美的中央空调选型配置表</t>
  </si>
  <si>
    <t>项目名称：</t>
  </si>
  <si>
    <t>xx设计项目</t>
  </si>
  <si>
    <t>项目类型：</t>
  </si>
  <si>
    <t>平层</t>
  </si>
  <si>
    <t>设计区域信息</t>
  </si>
  <si>
    <t>空调设计负荷</t>
  </si>
  <si>
    <t>室内机选型</t>
  </si>
  <si>
    <t>实际房间负荷</t>
  </si>
  <si>
    <t>备注</t>
  </si>
  <si>
    <t>室外机型号</t>
  </si>
  <si>
    <t>系统连接率</t>
  </si>
  <si>
    <t>楼层</t>
  </si>
  <si>
    <t>编号</t>
  </si>
  <si>
    <t>房间名称</t>
  </si>
  <si>
    <t>面积</t>
  </si>
  <si>
    <t>单位负荷</t>
  </si>
  <si>
    <t>房间负荷</t>
  </si>
  <si>
    <t>室内机形式</t>
  </si>
  <si>
    <t>室内机型号</t>
  </si>
  <si>
    <t>匹数</t>
  </si>
  <si>
    <t>数量</t>
  </si>
  <si>
    <t>制冷量</t>
  </si>
  <si>
    <t>总制冷量</t>
  </si>
  <si>
    <t>提升泵</t>
  </si>
  <si>
    <t>机型选择</t>
  </si>
  <si>
    <r>
      <rPr>
        <b/>
        <sz val="11"/>
        <rFont val="等线"/>
        <charset val="134"/>
      </rPr>
      <t>m</t>
    </r>
    <r>
      <rPr>
        <b/>
        <vertAlign val="superscript"/>
        <sz val="11"/>
        <rFont val="等线"/>
        <charset val="134"/>
      </rPr>
      <t>2</t>
    </r>
  </si>
  <si>
    <r>
      <rPr>
        <b/>
        <sz val="11"/>
        <rFont val="等线"/>
        <charset val="134"/>
      </rPr>
      <t>W/m</t>
    </r>
    <r>
      <rPr>
        <b/>
        <vertAlign val="superscript"/>
        <sz val="11"/>
        <rFont val="等线"/>
        <charset val="134"/>
      </rPr>
      <t>2</t>
    </r>
  </si>
  <si>
    <t>kW</t>
  </si>
  <si>
    <t>kw</t>
  </si>
  <si>
    <t>外机系列</t>
  </si>
  <si>
    <t>内机形式</t>
  </si>
  <si>
    <t>外机型号</t>
  </si>
  <si>
    <t>制热量</t>
  </si>
  <si>
    <t>一层</t>
  </si>
  <si>
    <t>客餐厅</t>
  </si>
  <si>
    <t>MJV-80T2/X-TS</t>
  </si>
  <si>
    <t>领航者IV
MJV-200W-E01-LHIV
制冷量：20kW
制热量：22.9kW
匹数：大7匹</t>
  </si>
  <si>
    <t>领航者Ⅲ</t>
  </si>
  <si>
    <t>超薄轻音室内机Pro</t>
  </si>
  <si>
    <t>MJV-200W-E01-LHⅢ</t>
  </si>
  <si>
    <t>MJV-45T2/X-TS</t>
  </si>
  <si>
    <t>次卧1</t>
  </si>
  <si>
    <t>MJV-28T2/X-TS</t>
  </si>
  <si>
    <t>次卧2</t>
  </si>
  <si>
    <t>小计</t>
  </si>
  <si>
    <t>-</t>
  </si>
  <si>
    <t>设计特别说明：</t>
  </si>
  <si>
    <r>
      <rPr>
        <b/>
        <sz val="11"/>
        <rFont val="等线"/>
        <charset val="134"/>
      </rPr>
      <t>﹡</t>
    </r>
    <r>
      <rPr>
        <b/>
        <sz val="11"/>
        <rFont val="等线"/>
        <charset val="134"/>
        <scheme val="minor"/>
      </rPr>
      <t>为保证制冷使用效果，项目制冷区域的单位面积冷量配置值由专业暖通设计工程师综合各冷负荷影响因素后核算所得。
﹡配置表为初步设计选型方案，未考虑到现场情况及材料等实际情况，具体施工可根据实际情况进行调整。
﹡如客户指定的冷量配置不满足设计冷量配置指标，需提前跟客户明确预计使用效果。
﹡以上数据根据国标《民用建筑供暖通风与空气调节设计规范》GB50736-2012。</t>
    </r>
  </si>
  <si>
    <t>二、设备报价</t>
  </si>
  <si>
    <t>序号</t>
  </si>
  <si>
    <t>设备名称</t>
  </si>
  <si>
    <t>型号</t>
  </si>
  <si>
    <t>单位</t>
  </si>
  <si>
    <t>单价（元）</t>
  </si>
  <si>
    <t>总价（元）</t>
  </si>
  <si>
    <t>多联室外机</t>
  </si>
  <si>
    <t>MJV-180W-E01-LHIV</t>
  </si>
  <si>
    <t>台</t>
  </si>
  <si>
    <t>220V</t>
  </si>
  <si>
    <t>标配线控器</t>
  </si>
  <si>
    <t>MJV-56T2/X-TS</t>
  </si>
  <si>
    <t>二、设备小计（元）</t>
  </si>
  <si>
    <t>三、材料及安装报价</t>
  </si>
  <si>
    <t>名称</t>
  </si>
  <si>
    <t>规格</t>
  </si>
  <si>
    <t>材料及安装费</t>
  </si>
  <si>
    <t>安装人工费</t>
  </si>
  <si>
    <t>铜管及橡塑保温套管</t>
  </si>
  <si>
    <t>铜管：海亮/中佳/金龙
水管：中财、联塑
保温棉：金环</t>
  </si>
  <si>
    <t>冷凝水管及橡塑保温套管</t>
  </si>
  <si>
    <t>标准出回风口（带过滤网）</t>
  </si>
  <si>
    <t>ABS材质、设备标配尺寸</t>
  </si>
  <si>
    <t>信号线</t>
  </si>
  <si>
    <t>国标</t>
  </si>
  <si>
    <t>制冷剂R410A（环保冷媒）</t>
  </si>
  <si>
    <t>外机支架、吊杆、帆布软接等辅材</t>
  </si>
  <si>
    <t>三、材料及安装小计（元）</t>
  </si>
  <si>
    <t>合计（元）</t>
  </si>
  <si>
    <t>1、本报价不含复合风管费用，不含加长风口费用。</t>
  </si>
  <si>
    <t>2、本报价不含线控器管线开槽及预埋86底盒费用（由甲方负责）。</t>
  </si>
  <si>
    <t>3、本报价多联机限定主铜管≤10米，支铜管≤7米，多台内机累计，超出部分额外收取费用。</t>
  </si>
  <si>
    <t>4、本报价不包含空调电源线，由甲方负责接至空调设备位置，并在电箱预留空气开关。</t>
  </si>
  <si>
    <t>5、本报价不含税。</t>
  </si>
  <si>
    <t>6、本报价有效期为1个月。</t>
  </si>
  <si>
    <t>价格</t>
  </si>
  <si>
    <t>主卧风管机</t>
  </si>
  <si>
    <t>大三匹双出风KFR-75T2W/B3-SSA(1)IV</t>
  </si>
  <si>
    <t>此报价包含7米铜管1.6米进风口和回风口加铁架</t>
  </si>
  <si>
    <t>合计34109</t>
  </si>
  <si>
    <t>风量</t>
  </si>
  <si>
    <t>水力模块搭配关系</t>
  </si>
  <si>
    <t>全热交换器</t>
  </si>
  <si>
    <t>MQXF250</t>
  </si>
  <si>
    <t>主机型号</t>
  </si>
  <si>
    <t>水力模块型号1</t>
  </si>
  <si>
    <t>MQXF350</t>
  </si>
  <si>
    <t>领航者Ⅱ系列室外机</t>
  </si>
  <si>
    <t>MJV-280W/S-X8-LHII</t>
  </si>
  <si>
    <t>SFEN-280/N1X-A</t>
  </si>
  <si>
    <t>MQXF250II</t>
  </si>
  <si>
    <t>MJV-335W/S-X8-LHII</t>
  </si>
  <si>
    <t>MQXF350II</t>
  </si>
  <si>
    <t>领航者Ⅲ系列室外机</t>
  </si>
  <si>
    <t>MJV-120W-E01-LHⅢ</t>
  </si>
  <si>
    <t>SFEN-180/N1X-A</t>
  </si>
  <si>
    <t>SFEN-180/N1X-BⅡ</t>
  </si>
  <si>
    <t>单向流新风机</t>
  </si>
  <si>
    <t>MDXF200</t>
  </si>
  <si>
    <t>MJV-140W-E01-LHⅢ</t>
  </si>
  <si>
    <t>MDXF200D</t>
  </si>
  <si>
    <t>MJV-160W-E01-LHⅢ</t>
  </si>
  <si>
    <t>MDXF160G</t>
  </si>
  <si>
    <t>MJV-180W-E01-LHⅢ</t>
  </si>
  <si>
    <t>X新风系列全热交换器</t>
  </si>
  <si>
    <t>MQXF250M</t>
  </si>
  <si>
    <t>MQXF350M</t>
  </si>
  <si>
    <t>MJV-200W/S-E01-LHⅢ</t>
  </si>
  <si>
    <t>MJV-224W-E01-LHⅢ</t>
  </si>
  <si>
    <t>MJV-224W/S-E01-LHⅢ</t>
  </si>
  <si>
    <t>探索家室外机</t>
  </si>
  <si>
    <t>MJV-120W-E01-TS</t>
  </si>
  <si>
    <t>MJV-140W-E01-TS</t>
  </si>
  <si>
    <t>MJV-160W-E01-TS</t>
  </si>
  <si>
    <t>MJV-180W-E01-TS</t>
  </si>
  <si>
    <t>设计家系列室外机</t>
  </si>
  <si>
    <t>MJV-120W/B-E01-SJ</t>
  </si>
  <si>
    <t>MJV-140W/B-E01-SJ</t>
  </si>
  <si>
    <t>MJV-160W/B-E01-SJ</t>
  </si>
  <si>
    <t>≥50L</t>
  </si>
  <si>
    <t>MJV-180W/B-E01-SJ</t>
  </si>
  <si>
    <t>≥60L</t>
  </si>
  <si>
    <t xml:space="preserve"> MJV-200W-E01-SJ</t>
  </si>
  <si>
    <t>≥80L</t>
  </si>
  <si>
    <t xml:space="preserve">MJV-224W-E01-SJ  </t>
  </si>
  <si>
    <t>设计家II系列室外机</t>
  </si>
  <si>
    <t>MJV-120W-E01-SJⅡ</t>
  </si>
  <si>
    <t>水力模块型号</t>
  </si>
  <si>
    <t xml:space="preserve">SFEN-180/N1X-BⅡ </t>
  </si>
  <si>
    <t>MJV-140W-E01-SJⅡ</t>
  </si>
  <si>
    <t>水泵参数</t>
  </si>
  <si>
    <t>流量:3m³/h 扬程:5.2m</t>
  </si>
  <si>
    <t>流量:3m³/h
扬程:5.2m</t>
  </si>
  <si>
    <t>流量:4.8m³/h
扬程:11m</t>
  </si>
  <si>
    <t>MJV-160W-E01-SJⅡ</t>
  </si>
  <si>
    <t>MJV-180W-E01-SJⅡ</t>
  </si>
  <si>
    <t>MJV-200W-E01-SJⅡ</t>
  </si>
  <si>
    <t>MJV-224W-E01-SJⅡ</t>
  </si>
  <si>
    <t>系列名称</t>
  </si>
  <si>
    <t>领航者Ⅱ</t>
  </si>
  <si>
    <t>领航者Ⅳ</t>
  </si>
  <si>
    <t>设计家Ⅱ</t>
  </si>
  <si>
    <t>空气梦想家Ⅱ</t>
  </si>
  <si>
    <t>探索家</t>
  </si>
  <si>
    <t>星光pro</t>
  </si>
  <si>
    <t>智慧家</t>
  </si>
  <si>
    <t>美家</t>
  </si>
  <si>
    <t>理想家III</t>
  </si>
  <si>
    <t>理想家IV</t>
  </si>
  <si>
    <t>星光</t>
  </si>
  <si>
    <t>设计家青春版</t>
  </si>
  <si>
    <t>玲珑II</t>
  </si>
  <si>
    <t>GC</t>
  </si>
  <si>
    <t>雅境</t>
  </si>
  <si>
    <t>MDSIII</t>
  </si>
  <si>
    <t>对应室内机</t>
  </si>
  <si>
    <t>超薄轻音室内机</t>
  </si>
  <si>
    <t>设计家除醛室内机</t>
  </si>
  <si>
    <t>空气梦想家Ⅱ室内机</t>
  </si>
  <si>
    <t>新风内机</t>
  </si>
  <si>
    <t>美家BE离子云Plus内机</t>
  </si>
  <si>
    <t>TY通用内机</t>
  </si>
  <si>
    <t>厨房式室内机</t>
  </si>
  <si>
    <t>GC系列客卧式室内机</t>
  </si>
  <si>
    <t>雅境系列室内机</t>
  </si>
  <si>
    <t>玲珑客卧式室内机</t>
  </si>
  <si>
    <t>领航者除菌室内机</t>
  </si>
  <si>
    <t>厨清凉室内机</t>
  </si>
  <si>
    <t>卫浴空调室内机</t>
  </si>
  <si>
    <t>冷暖双舒适内机</t>
  </si>
  <si>
    <t>室内机名称</t>
  </si>
  <si>
    <t>设计家客卧式室内机</t>
  </si>
  <si>
    <t>前装系列小多联</t>
  </si>
  <si>
    <t>空气梦想家室内机</t>
  </si>
  <si>
    <t>星光pro系列客卧内机</t>
  </si>
  <si>
    <t>MJV-22T2-TS</t>
  </si>
  <si>
    <t>MJV-22T2/PX-TS</t>
  </si>
  <si>
    <t>MJV-22T2/P-SS</t>
  </si>
  <si>
    <t>MJV-22T2/P-LH</t>
  </si>
  <si>
    <t>MJV-22T2/P-XF</t>
  </si>
  <si>
    <t>MJV-22T2/P-SJ</t>
  </si>
  <si>
    <t>MJV-22T2/X-SJ</t>
  </si>
  <si>
    <t>MJV-36Q/P-TC</t>
  </si>
  <si>
    <t>MDVH-22T2/DN1-Z</t>
  </si>
  <si>
    <t>MJV-22T2/DX-GC</t>
  </si>
  <si>
    <t>MDVH-32T2/N1-K</t>
  </si>
  <si>
    <t>MJV-22T2/X-MX</t>
  </si>
  <si>
    <t>MJV-22T2/DX-YJ</t>
  </si>
  <si>
    <t>MJV-22T2/DX-TY</t>
  </si>
  <si>
    <t>MDS-22T2-XGpro</t>
  </si>
  <si>
    <t>MJV-22T2-MXⅡ</t>
  </si>
  <si>
    <t>MJV-22T2/X-MZ</t>
  </si>
  <si>
    <t xml:space="preserve">MJV-28Q/P-TY </t>
  </si>
  <si>
    <t>MJV-28T2-TS</t>
  </si>
  <si>
    <t>MJV-28T2/PX-TS</t>
  </si>
  <si>
    <t>MJV-28T2/P-SS</t>
  </si>
  <si>
    <t>MJV-28T2/P-LH</t>
  </si>
  <si>
    <t>MJV-28T2/P-XF</t>
  </si>
  <si>
    <t>MJV-28T2/P-SJ</t>
  </si>
  <si>
    <t>MJV-28T2/X-SJ</t>
  </si>
  <si>
    <t>MDVH-28T2/DN1-Z</t>
  </si>
  <si>
    <t>MJV-28T2/DX-GC</t>
  </si>
  <si>
    <t>MJV-28T2/X-MX</t>
  </si>
  <si>
    <t>MJV-28T2/DX-YJ</t>
  </si>
  <si>
    <t>MJV-28T2/DX-TY</t>
  </si>
  <si>
    <t>MDS-28T2-XGpro</t>
  </si>
  <si>
    <t>MJV-28T2-MXⅡ</t>
  </si>
  <si>
    <t>MJV-28T2/X-MZ</t>
  </si>
  <si>
    <t>MJV-36T2-TS</t>
  </si>
  <si>
    <t>MJV-36T2/PX-TS</t>
  </si>
  <si>
    <t>MJV-36T2/P-SS</t>
  </si>
  <si>
    <t>MJV-36T2/P-LH</t>
  </si>
  <si>
    <t>MJV-36T2/P-XF</t>
  </si>
  <si>
    <t>MJV-36T2/P-SJ</t>
  </si>
  <si>
    <t>MJV-36T2/X-SJ</t>
  </si>
  <si>
    <t>MDVH-36T2/DN1-Z</t>
  </si>
  <si>
    <t>MJV-36T2/DX-GC</t>
  </si>
  <si>
    <t>MJV-36T2/X-MX</t>
  </si>
  <si>
    <t>MJV-36T2/DX-YJ</t>
  </si>
  <si>
    <t>MJV-36T2/DX-TY</t>
  </si>
  <si>
    <t>MDS-36T2-XGpro</t>
  </si>
  <si>
    <t>MJV-36T2-MXⅡ</t>
  </si>
  <si>
    <t>MJV-36T2/X-MZ</t>
  </si>
  <si>
    <t>MJV-45T2-TS</t>
  </si>
  <si>
    <t>MJV-45T2/PX-TS</t>
  </si>
  <si>
    <t>MJV-42T2/P-SS</t>
  </si>
  <si>
    <t>MJV-45T2/P-LH</t>
  </si>
  <si>
    <t>MJV-45T2/P-XF</t>
  </si>
  <si>
    <t>MJV-45T2/P-SJ</t>
  </si>
  <si>
    <t>MJV-45T2/X-SJ</t>
  </si>
  <si>
    <t>MDVH-45T2/DN1-Z</t>
  </si>
  <si>
    <t>MJV-45T2/DX-GC</t>
  </si>
  <si>
    <t>MJV-45T2/X-MX</t>
  </si>
  <si>
    <t>MJV-45T2/DX-YJ</t>
  </si>
  <si>
    <t>MJV-45T2/DX-TY</t>
  </si>
  <si>
    <t>MDS-45T2-XGpro</t>
  </si>
  <si>
    <t>MJV-45T2-MXⅡ</t>
  </si>
  <si>
    <t>MJV-45T2/X-MZ</t>
  </si>
  <si>
    <t>MJV-56T2-TS</t>
  </si>
  <si>
    <t>MJV-56T2/PX-TS</t>
  </si>
  <si>
    <t>MJV-71T2/P-SS</t>
  </si>
  <si>
    <t>MJV-56T2/P-LH</t>
  </si>
  <si>
    <t>MJV-56T2/P-XF</t>
  </si>
  <si>
    <t>MJV-56T2/P-SJ</t>
  </si>
  <si>
    <t>MJV-56T2/X-SJ</t>
  </si>
  <si>
    <t>MDVH-56T2/DN1-Z</t>
  </si>
  <si>
    <t>MJV-56T2/DX-GC</t>
  </si>
  <si>
    <t>MJV-56T2/X-MX</t>
  </si>
  <si>
    <t>MJV-56T2/DX-YJ</t>
  </si>
  <si>
    <t>MJV-56T2/DX-TY</t>
  </si>
  <si>
    <t>MDS-56T2-XGpro</t>
  </si>
  <si>
    <t>MJV-56T2-MXⅡ</t>
  </si>
  <si>
    <t>MJV-56T2/X-MZ</t>
  </si>
  <si>
    <t>MJV-71T2-TS</t>
  </si>
  <si>
    <t>MJV-71T2/PX-TS</t>
  </si>
  <si>
    <t>MJV-80T2/P-SS</t>
  </si>
  <si>
    <t>MJV-71T2/P-LH</t>
  </si>
  <si>
    <t>MJV-71T2/P-XF</t>
  </si>
  <si>
    <t>MJV-71T2/P-SJ</t>
  </si>
  <si>
    <t>MJV-71T2/X-SJ</t>
  </si>
  <si>
    <t>MDVH-71T2/DN1-Z</t>
  </si>
  <si>
    <t>MJV-71T2/DX-GC</t>
  </si>
  <si>
    <t>MJV-71T2/X-MX</t>
  </si>
  <si>
    <t>MJV-71T2/DX-YJ</t>
  </si>
  <si>
    <t>MJV-71T2/DX-TY</t>
  </si>
  <si>
    <t>MDS-71T2-XGpro</t>
  </si>
  <si>
    <t>MJV-71T2-MXⅡ</t>
  </si>
  <si>
    <t>MJV-71T2/X-MZ</t>
  </si>
  <si>
    <t>MJV-80T2-TS</t>
  </si>
  <si>
    <t>MJV-80T2/PX-TS</t>
  </si>
  <si>
    <t>MJV-80T2/P-LH</t>
  </si>
  <si>
    <t>MJV-80T2/P-XF</t>
  </si>
  <si>
    <t xml:space="preserve">MJV-80T2/P-SJ </t>
  </si>
  <si>
    <t>MJV-22T2/PX-SJ</t>
  </si>
  <si>
    <t>MJV-22T2/DPX-GC</t>
  </si>
  <si>
    <t>MJV-80T2/DX-TY</t>
  </si>
  <si>
    <t>MDS-22T2/P-XGpro</t>
  </si>
  <si>
    <t>MJV-22T2/P-TS</t>
  </si>
  <si>
    <t>MJV-22T2/X-TS</t>
  </si>
  <si>
    <t>MJV-22T2-SJ</t>
  </si>
  <si>
    <t>MJV-28T2/PX-SJ</t>
  </si>
  <si>
    <t>MJV-28T2/DPX-GC</t>
  </si>
  <si>
    <t>MDS-28T2/P-XGpro</t>
  </si>
  <si>
    <t>MJV-28T2/P-TS</t>
  </si>
  <si>
    <t>MJV-28T2-SJ</t>
  </si>
  <si>
    <t>MJV-36T2/PX-SJ</t>
  </si>
  <si>
    <t>MJV-36T2/DPX-GC</t>
  </si>
  <si>
    <t>MDS-36T2/P-XGpro</t>
  </si>
  <si>
    <t>MJV-36T2/P-TS</t>
  </si>
  <si>
    <t>MJV-36T2/X-TS</t>
  </si>
  <si>
    <t>MJV-36T2-SJ</t>
  </si>
  <si>
    <t>MJV-45T2/PX-SJ</t>
  </si>
  <si>
    <t>MJV-45T2/DPX-GC</t>
  </si>
  <si>
    <t>MDS-45T2/P-XGpro</t>
  </si>
  <si>
    <t>MJV-45T2/P-TS</t>
  </si>
  <si>
    <t>MJV-45T2-SJ</t>
  </si>
  <si>
    <t>MJV-56T2/PX-SJ</t>
  </si>
  <si>
    <t>MJV-56T2/DPX-GC</t>
  </si>
  <si>
    <t>MDS-56T2/P-XGpro</t>
  </si>
  <si>
    <t>MJV-56T2/P-TS</t>
  </si>
  <si>
    <t>MJV-56T2-SJ</t>
  </si>
  <si>
    <t>MJV-71T2/PX-SJ</t>
  </si>
  <si>
    <t>MJV-71T2/DPX-GC</t>
  </si>
  <si>
    <t>MDS-71T2/P-XGpro</t>
  </si>
  <si>
    <t>MJV-71T2/P-TS</t>
  </si>
  <si>
    <t>MJV-71T2/X-TS</t>
  </si>
  <si>
    <t>MJV-71T2-SJ</t>
  </si>
  <si>
    <t>MJV-22T2/PX-GC</t>
  </si>
  <si>
    <t>MJV-80T2/P-TS</t>
  </si>
  <si>
    <t>MJV-28T2/PX-GC</t>
  </si>
  <si>
    <t>MJV-36T2/PX-GC</t>
  </si>
  <si>
    <t>MJV-45T2/PX-GC</t>
  </si>
  <si>
    <t>MJV-56T2/PX-GC</t>
  </si>
  <si>
    <t>MJV-71T2/PX-GC</t>
  </si>
  <si>
    <t>MJV-80T2/PX-GC</t>
  </si>
  <si>
    <t>领航者Ⅳ系列室外机</t>
  </si>
  <si>
    <t>室外机名称</t>
  </si>
  <si>
    <t>智慧家系列室外机</t>
  </si>
  <si>
    <t>美家系列室外机</t>
  </si>
  <si>
    <t>设计家Ⅱ系列室外机</t>
  </si>
  <si>
    <t>理想家III系列室外机</t>
  </si>
  <si>
    <t>理想家IV系列室外机</t>
  </si>
  <si>
    <t>玲珑II系列室外机</t>
  </si>
  <si>
    <t>MDSIII系列室外机</t>
  </si>
  <si>
    <t>GC系列室外机</t>
  </si>
  <si>
    <t>空气梦想家Ⅱ系列室外机</t>
  </si>
  <si>
    <t>雅境系列室外机</t>
  </si>
  <si>
    <t>设计家青春版系列室外机</t>
  </si>
  <si>
    <t>星光系列室外机</t>
  </si>
  <si>
    <t>星光pro系列室外机</t>
  </si>
  <si>
    <t>探索家系列室外机</t>
  </si>
  <si>
    <t>MJV-120W-E01-MZ</t>
  </si>
  <si>
    <t>MJV-125W-E01-LHⅣ</t>
  </si>
  <si>
    <t>MJV-120W-E01-LXIII</t>
  </si>
  <si>
    <t xml:space="preserve">MJV-125W-X6-LXⅣ </t>
  </si>
  <si>
    <t xml:space="preserve">MJV-80W-X4-LLⅡA </t>
  </si>
  <si>
    <t>MDS-H100W-A(1) Ⅲ</t>
  </si>
  <si>
    <t>MJV-80W-D01-GC</t>
  </si>
  <si>
    <t>MJV-120W-E01-MXⅡ</t>
  </si>
  <si>
    <t>MJV-100W-D01-YJ</t>
  </si>
  <si>
    <t>MJV-120W-E01-SJQC</t>
  </si>
  <si>
    <t>MDS-80W-X4-XG</t>
  </si>
  <si>
    <t>MDS-120W-E01-XGpro</t>
  </si>
  <si>
    <t>MJV-140W-E01-MZ</t>
  </si>
  <si>
    <t>MJV-140W-E01-LHⅣ</t>
  </si>
  <si>
    <t>MJV-140W-E01-LXIII</t>
  </si>
  <si>
    <t>MJV-140W-X6-LXⅣ</t>
  </si>
  <si>
    <t xml:space="preserve">MJV-100W-D02-LLⅡA </t>
  </si>
  <si>
    <t>MDS-H120W-A(1) Ⅲ</t>
  </si>
  <si>
    <t>MJV-100W-D01-GC</t>
  </si>
  <si>
    <t>MJV-140W-E01-MXⅡ</t>
  </si>
  <si>
    <t>MJV-120W-D01-YJ</t>
  </si>
  <si>
    <t>MJV-140W-E01-SJQC</t>
  </si>
  <si>
    <t>MDS-100W-D02-XG</t>
  </si>
  <si>
    <t>MDS-140W-E01-XGpro</t>
  </si>
  <si>
    <t>MJV-160W-E01-MZ</t>
  </si>
  <si>
    <t>MJV-160W-E01-LHⅣ</t>
  </si>
  <si>
    <t>MJV-160W-E01-LXIII</t>
  </si>
  <si>
    <t xml:space="preserve">MJV-120W-D02-LLⅡA </t>
  </si>
  <si>
    <r>
      <rPr>
        <sz val="8"/>
        <color theme="1"/>
        <rFont val="微软雅黑"/>
        <charset val="134"/>
      </rPr>
      <t>MDS-H140W-A(1)</t>
    </r>
    <r>
      <rPr>
        <sz val="10"/>
        <color theme="1"/>
        <rFont val="宋体"/>
        <charset val="134"/>
      </rPr>
      <t xml:space="preserve"> </t>
    </r>
    <r>
      <rPr>
        <sz val="8"/>
        <color theme="1"/>
        <rFont val="微软雅黑"/>
        <charset val="134"/>
      </rPr>
      <t>Ⅲ</t>
    </r>
  </si>
  <si>
    <t>MJV-120W-D01-GC</t>
  </si>
  <si>
    <t>MJV-160W-E01-MXⅡ</t>
  </si>
  <si>
    <t>MJV-140W-D01-YJ</t>
  </si>
  <si>
    <t>MJV-160W-E01-SJQC</t>
  </si>
  <si>
    <t>MDS-120W-D02-XG</t>
  </si>
  <si>
    <t>MDS-160W-E01-XGpro</t>
  </si>
  <si>
    <t>MJV-180W-E01-MZ</t>
  </si>
  <si>
    <t>MJV-180W-E01-LHⅣ</t>
  </si>
  <si>
    <t>MJV-180W-E01-LXIII</t>
  </si>
  <si>
    <t xml:space="preserve">MJV-140W-D02-LLⅡA </t>
  </si>
  <si>
    <t>MDS-160W-X6-(1)Ⅲ</t>
  </si>
  <si>
    <t>MJV-140W-D01-GC</t>
  </si>
  <si>
    <t>MJV-180W-E01-MXⅡ</t>
  </si>
  <si>
    <t>MJV-140W-E01-YJ</t>
  </si>
  <si>
    <t>MJV-180W-E01-SJQC</t>
  </si>
  <si>
    <t>MDS-140W-D02-XG</t>
  </si>
  <si>
    <t>MDS-180W-E01-XGpro</t>
  </si>
  <si>
    <t>MJV-200W-E01-MZ</t>
  </si>
  <si>
    <t>MJV-200W/S-E01-LXIII</t>
  </si>
  <si>
    <t>MJV-160W-X6-LLⅡA</t>
  </si>
  <si>
    <t>MDS-H160W-A(1) Ⅲ</t>
  </si>
  <si>
    <t>MJV-160W-E01-GC</t>
  </si>
  <si>
    <t>MJV-200W-E01-MXⅡ</t>
  </si>
  <si>
    <t>MJV-160W-E01-YJ</t>
  </si>
  <si>
    <t>MDS-160W-X6-XG</t>
  </si>
  <si>
    <t>MDS-200W-E01-XGpro</t>
  </si>
  <si>
    <t>MJV-224W-E01-MZ</t>
  </si>
  <si>
    <t>MJV-224W/S-E01-LXIII</t>
  </si>
  <si>
    <t>MJV-100W-D01-LLIIA</t>
  </si>
  <si>
    <t>MDS-H180W-A(1) Ⅲ</t>
  </si>
  <si>
    <t>MJV-180W-E01-GC</t>
  </si>
  <si>
    <t>MJV-224W-E01-MXⅡ</t>
  </si>
  <si>
    <t>MJV-180W-E01-YJ</t>
  </si>
  <si>
    <t>MDS-180W-E01-XG</t>
  </si>
  <si>
    <t>MDS-120W-E01-XGpro(GNX)</t>
  </si>
  <si>
    <t>MJV-120W-D01-LLIIA</t>
  </si>
  <si>
    <r>
      <rPr>
        <sz val="11"/>
        <color rgb="FF000000"/>
        <rFont val="宋体"/>
        <charset val="134"/>
      </rPr>
      <t xml:space="preserve">MDVH-V80W/N1-DGC(E1) </t>
    </r>
  </si>
  <si>
    <t>MDS-140W-E01-XGpro(GNX)</t>
  </si>
  <si>
    <t>MJV-140W-D01-LLIIA</t>
  </si>
  <si>
    <t>MDVH-V100W/N1-DGC(E1)</t>
  </si>
  <si>
    <t>MDS-160W-E01-XGpro(GNX)</t>
  </si>
  <si>
    <t>MJV-140W-E01-LLIIA</t>
  </si>
  <si>
    <r>
      <rPr>
        <sz val="11"/>
        <color rgb="FF000000"/>
        <rFont val="宋体"/>
        <charset val="134"/>
      </rPr>
      <t xml:space="preserve">MDVH-V120W/N1-DGC(E1) </t>
    </r>
  </si>
  <si>
    <t>MDS-180W-E01-XGpro(GNX)</t>
  </si>
  <si>
    <t>MJV-160W-E01-LLIIA</t>
  </si>
  <si>
    <r>
      <rPr>
        <sz val="11"/>
        <color rgb="FF000000"/>
        <rFont val="宋体"/>
        <charset val="134"/>
      </rPr>
      <t xml:space="preserve">MDVH-V140W/N1-DGC(E1) </t>
    </r>
  </si>
  <si>
    <t>MDS-200W-E01-XGpro(GNX)</t>
  </si>
  <si>
    <t>MJV-180W-E01-LLIIA</t>
  </si>
  <si>
    <t>MDVH-V160W/N1-EGC(E1)</t>
  </si>
  <si>
    <t>MDVH-V180W/N1-EGC(E1)</t>
  </si>
  <si>
    <r>
      <rPr>
        <sz val="11"/>
        <color rgb="FF000000"/>
        <rFont val="宋体"/>
        <charset val="134"/>
      </rPr>
      <t xml:space="preserve">MDVH-V180W/N1-EGC(E1) </t>
    </r>
  </si>
  <si>
    <t>别墅</t>
  </si>
  <si>
    <t>商铺</t>
  </si>
  <si>
    <t>复式</t>
  </si>
  <si>
    <t>/</t>
  </si>
  <si>
    <t>冷凝提升泵</t>
  </si>
  <si>
    <t>小1匹</t>
  </si>
  <si>
    <t>有</t>
  </si>
  <si>
    <t>1匹</t>
  </si>
  <si>
    <t>1.5匹</t>
  </si>
  <si>
    <t>小2匹</t>
  </si>
  <si>
    <t>2匹</t>
  </si>
  <si>
    <t>3匹</t>
  </si>
  <si>
    <t>大3匹</t>
  </si>
  <si>
    <t>MJV-56T2/P-SS</t>
  </si>
  <si>
    <t>无</t>
  </si>
  <si>
    <t>MDVH-J22T2/BP3N1X-LX(B)II</t>
  </si>
  <si>
    <t>理想家客卧式室内机</t>
  </si>
  <si>
    <t>MDVH-J28T2/BP3N1X-LX(B)II</t>
  </si>
  <si>
    <t>MDVH-J36T2/BP3N1X-LX(B)II</t>
  </si>
  <si>
    <t>MDVH-J45T2/BP3N1X-LX(B)II</t>
  </si>
  <si>
    <t>MDVH-J56T2/BP3N1X-LX(B)II</t>
  </si>
  <si>
    <t>MDVH-J71T2/BP3N1X-LX(B)II</t>
  </si>
  <si>
    <t>MJV-22T2/DX-LLIIA</t>
  </si>
  <si>
    <t>MJV-28T2/DX-LLIIA</t>
  </si>
  <si>
    <t>MJV-36T2/DX-LLIIA</t>
  </si>
  <si>
    <t>MJV-45T2/DX-LLIIA</t>
  </si>
  <si>
    <t>MJV-56T2/DX-LLIIA</t>
  </si>
  <si>
    <t>MJV-71T2/DX-LLIIA</t>
  </si>
  <si>
    <t>MJV-80T2/DX-LLIIA</t>
  </si>
  <si>
    <t>小1.5匹</t>
  </si>
  <si>
    <t>系列</t>
  </si>
  <si>
    <t>MDVH-V120W/N1-E01LH(E1)Ⅱ</t>
  </si>
  <si>
    <t>MDVH-V140W/N1-E01LH(E1)Ⅱ</t>
  </si>
  <si>
    <t>MDVH-V160W/N1-E01LH(E1)Ⅱ</t>
  </si>
  <si>
    <t>大6</t>
  </si>
  <si>
    <t>MDVH-V180W/N1-E01LH(E1)Ⅱ</t>
  </si>
  <si>
    <t xml:space="preserve">MJV-200W-E01-LHⅡ </t>
  </si>
  <si>
    <t>大7</t>
  </si>
  <si>
    <t xml:space="preserve">MJV-224W-E01-LHⅡ </t>
  </si>
  <si>
    <t xml:space="preserve">MJV-200W/S-E01-LHⅡ </t>
  </si>
  <si>
    <t xml:space="preserve">MJV-224W/S-E01-LHⅡ </t>
  </si>
  <si>
    <t>理想家ⅢPro系列室外机</t>
  </si>
  <si>
    <t>MJV-125W-E01-LXⅢP</t>
  </si>
  <si>
    <t>MJV-140W-E01-LXⅢP</t>
  </si>
  <si>
    <t>MJV-160W-E01-LXⅢP</t>
  </si>
  <si>
    <t>MJV-180W-E01-LXⅢP</t>
  </si>
  <si>
    <t>MJV-160W-X6-LXⅣ</t>
  </si>
  <si>
    <t>MJV-120W-E01-LXⅣ</t>
  </si>
  <si>
    <t>MJV-140W-E01-LXⅣ</t>
  </si>
  <si>
    <t>MJV-160W-E01-LXⅣ</t>
  </si>
  <si>
    <t>MJV-180W-E01-LXⅣ</t>
  </si>
  <si>
    <t>小4</t>
  </si>
  <si>
    <t>MDS-H140W-A(1) Ⅲ</t>
  </si>
  <si>
    <t xml:space="preserve">MDVH-V80W/N1-DGC(E1) </t>
  </si>
  <si>
    <t xml:space="preserve">MDVH-V120W/N1-DGC(E1) </t>
  </si>
  <si>
    <t xml:space="preserve">MDVH-V140W/N1-DGC(E1) </t>
  </si>
  <si>
    <t xml:space="preserve">MDVH-V180W/N1-EGC(E1) </t>
  </si>
  <si>
    <t>空气梦想家室外机</t>
  </si>
  <si>
    <t>MJV-120W-E01-MX</t>
  </si>
  <si>
    <t>MJV-140W-E01-MX</t>
  </si>
  <si>
    <t>MJV-160W-E01-MX</t>
  </si>
  <si>
    <t>MJV-180W-E01-MX</t>
  </si>
  <si>
    <t>MJV-200W-E01-MX</t>
  </si>
  <si>
    <t>MJV-224W-E01-MX</t>
  </si>
  <si>
    <t>前装系列室外机</t>
  </si>
  <si>
    <t>MDVH-120W/N1-Z(1)</t>
  </si>
  <si>
    <t>MDVH-140W/N1-Z(1)</t>
  </si>
  <si>
    <t>MDVH-160W/N1-Z(1)</t>
  </si>
  <si>
    <t>MDVH-180W/N1-Z(1)</t>
  </si>
  <si>
    <t>MDS-200W-E01-Xgpro</t>
  </si>
  <si>
    <t>空气梦想家Ⅱ室外机</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</si>
</sst>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 numFmtId="177" formatCode="yyyy&quot;年&quot;m&quot;月&quot;d&quot;日&quot;;@"/>
    <numFmt numFmtId="178" formatCode="0.0_ "/>
    <numFmt numFmtId="179" formatCode="0_ "/>
  </numFmts>
  <fonts count="50">
    <font>
      <sz val="11"/>
      <color theme="1"/>
      <name val="等线"/>
      <charset val="134"/>
      <scheme val="minor"/>
    </font>
    <font>
      <sz val="12"/>
      <color theme="1"/>
      <name val="等线"/>
      <charset val="134"/>
      <scheme val="minor"/>
    </font>
    <font>
      <sz val="10"/>
      <color rgb="FF000000"/>
      <name val="微软雅黑"/>
      <charset val="134"/>
    </font>
    <font>
      <sz val="8"/>
      <color rgb="FF000000"/>
      <name val="微软雅黑"/>
      <charset val="134"/>
    </font>
    <font>
      <b/>
      <sz val="11"/>
      <color theme="1"/>
      <name val="宋体"/>
      <charset val="134"/>
    </font>
    <font>
      <sz val="11"/>
      <color theme="1"/>
      <name val="宋体"/>
      <charset val="134"/>
    </font>
    <font>
      <sz val="8"/>
      <color theme="1"/>
      <name val="微软雅黑"/>
      <charset val="134"/>
    </font>
    <font>
      <sz val="11"/>
      <color theme="1"/>
      <name val="微软雅黑"/>
      <charset val="134"/>
    </font>
    <font>
      <sz val="9"/>
      <color rgb="FF000000"/>
      <name val="微软雅黑"/>
      <charset val="134"/>
    </font>
    <font>
      <sz val="9"/>
      <color theme="1"/>
      <name val="微软雅黑"/>
      <charset val="134"/>
    </font>
    <font>
      <sz val="11"/>
      <color rgb="FFFF0000"/>
      <name val="宋体"/>
      <charset val="134"/>
    </font>
    <font>
      <sz val="11"/>
      <color rgb="FF000000"/>
      <name val="宋体"/>
      <charset val="134"/>
    </font>
    <font>
      <sz val="11"/>
      <name val="宋体"/>
      <charset val="134"/>
    </font>
    <font>
      <b/>
      <sz val="28"/>
      <name val="微软雅黑"/>
      <charset val="134"/>
    </font>
    <font>
      <b/>
      <sz val="12"/>
      <name val="等线"/>
      <charset val="134"/>
    </font>
    <font>
      <b/>
      <sz val="11"/>
      <name val="等线"/>
      <charset val="134"/>
    </font>
    <font>
      <b/>
      <sz val="11"/>
      <color theme="1"/>
      <name val="等线"/>
      <charset val="134"/>
    </font>
    <font>
      <b/>
      <sz val="12"/>
      <color theme="1"/>
      <name val="等线"/>
      <charset val="134"/>
    </font>
    <font>
      <b/>
      <sz val="14"/>
      <name val="宋体"/>
      <charset val="134"/>
    </font>
    <font>
      <sz val="14"/>
      <color indexed="10"/>
      <name val="宋体"/>
      <charset val="134"/>
    </font>
    <font>
      <b/>
      <sz val="11"/>
      <color theme="1"/>
      <name val="等线"/>
      <charset val="134"/>
      <scheme val="minor"/>
    </font>
    <font>
      <b/>
      <sz val="11"/>
      <name val="等线"/>
      <charset val="134"/>
      <scheme val="minor"/>
    </font>
    <font>
      <b/>
      <sz val="18"/>
      <name val="等线"/>
      <charset val="134"/>
      <scheme val="minor"/>
    </font>
    <font>
      <sz val="14"/>
      <name val="宋体"/>
      <charset val="134"/>
    </font>
    <font>
      <sz val="14"/>
      <color indexed="8"/>
      <name val="等线"/>
      <charset val="134"/>
      <scheme val="minor"/>
    </font>
    <font>
      <sz val="14"/>
      <name val="等线"/>
      <charset val="134"/>
      <scheme val="minor"/>
    </font>
    <font>
      <b/>
      <sz val="14"/>
      <name val="等线"/>
      <charset val="134"/>
      <scheme val="minor"/>
    </font>
    <font>
      <sz val="1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name val="宋体"/>
      <charset val="134"/>
    </font>
    <font>
      <b/>
      <vertAlign val="superscript"/>
      <sz val="11"/>
      <name val="等线"/>
      <charset val="134"/>
    </font>
    <font>
      <sz val="10"/>
      <color theme="1"/>
      <name val="宋体"/>
      <charset val="134"/>
    </font>
  </fonts>
  <fills count="38">
    <fill>
      <patternFill patternType="none"/>
    </fill>
    <fill>
      <patternFill patternType="gray125"/>
    </fill>
    <fill>
      <patternFill patternType="solid">
        <fgColor rgb="FFFFFF00"/>
        <bgColor indexed="64"/>
      </patternFill>
    </fill>
    <fill>
      <patternFill patternType="solid">
        <fgColor rgb="FFFFFFFF"/>
        <bgColor rgb="FF000000"/>
      </patternFill>
    </fill>
    <fill>
      <patternFill patternType="solid">
        <fgColor rgb="FFFF0000"/>
        <bgColor indexed="64"/>
      </patternFill>
    </fill>
    <fill>
      <patternFill patternType="solid">
        <fgColor theme="0"/>
        <bgColor indexed="64"/>
      </patternFill>
    </fill>
    <fill>
      <patternFill patternType="solid">
        <fgColor theme="0" tint="-0.04998931852168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right/>
      <top style="thin">
        <color auto="1"/>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indexed="0"/>
      </right>
      <top style="thin">
        <color auto="1"/>
      </top>
      <bottom style="thin">
        <color auto="1"/>
      </bottom>
      <diagonal/>
    </border>
    <border>
      <left style="thin">
        <color auto="1"/>
      </left>
      <right/>
      <top/>
      <bottom/>
      <diagonal/>
    </border>
    <border>
      <left/>
      <right style="thin">
        <color auto="1"/>
      </right>
      <top/>
      <bottom/>
      <diagonal/>
    </border>
    <border>
      <left/>
      <right/>
      <top style="thin">
        <color auto="1"/>
      </top>
      <bottom style="thin">
        <color auto="1"/>
      </bottom>
      <diagonal/>
    </border>
    <border>
      <left style="thin">
        <color auto="1"/>
      </left>
      <right/>
      <top/>
      <bottom style="thin">
        <color auto="1"/>
      </bottom>
      <diagonal/>
    </border>
    <border>
      <left style="thin">
        <color auto="1"/>
      </left>
      <right/>
      <top style="thin">
        <color auto="1"/>
      </top>
      <bottom/>
      <diagonal/>
    </border>
    <border>
      <left/>
      <right style="thin">
        <color indexed="0"/>
      </right>
      <top style="thin">
        <color auto="1"/>
      </top>
      <bottom/>
      <diagonal/>
    </border>
    <border>
      <left/>
      <right style="thin">
        <color indexed="0"/>
      </right>
      <top/>
      <bottom style="thin">
        <color auto="1"/>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7" borderId="20"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21" applyNumberFormat="0" applyFill="0" applyAlignment="0" applyProtection="0">
      <alignment vertical="center"/>
    </xf>
    <xf numFmtId="0" fontId="34" fillId="0" borderId="21" applyNumberFormat="0" applyFill="0" applyAlignment="0" applyProtection="0">
      <alignment vertical="center"/>
    </xf>
    <xf numFmtId="0" fontId="35" fillId="0" borderId="22" applyNumberFormat="0" applyFill="0" applyAlignment="0" applyProtection="0">
      <alignment vertical="center"/>
    </xf>
    <xf numFmtId="0" fontId="35" fillId="0" borderId="0" applyNumberFormat="0" applyFill="0" applyBorder="0" applyAlignment="0" applyProtection="0">
      <alignment vertical="center"/>
    </xf>
    <xf numFmtId="0" fontId="36" fillId="8" borderId="23" applyNumberFormat="0" applyAlignment="0" applyProtection="0">
      <alignment vertical="center"/>
    </xf>
    <xf numFmtId="0" fontId="37" fillId="9" borderId="24" applyNumberFormat="0" applyAlignment="0" applyProtection="0">
      <alignment vertical="center"/>
    </xf>
    <xf numFmtId="0" fontId="38" fillId="9" borderId="23" applyNumberFormat="0" applyAlignment="0" applyProtection="0">
      <alignment vertical="center"/>
    </xf>
    <xf numFmtId="0" fontId="39" fillId="10" borderId="25" applyNumberFormat="0" applyAlignment="0" applyProtection="0">
      <alignment vertical="center"/>
    </xf>
    <xf numFmtId="0" fontId="40" fillId="0" borderId="26" applyNumberFormat="0" applyFill="0" applyAlignment="0" applyProtection="0">
      <alignment vertical="center"/>
    </xf>
    <xf numFmtId="0" fontId="41" fillId="0" borderId="27" applyNumberFormat="0" applyFill="0" applyAlignment="0" applyProtection="0">
      <alignment vertical="center"/>
    </xf>
    <xf numFmtId="0" fontId="42" fillId="11" borderId="0" applyNumberFormat="0" applyBorder="0" applyAlignment="0" applyProtection="0">
      <alignment vertical="center"/>
    </xf>
    <xf numFmtId="0" fontId="43" fillId="12" borderId="0" applyNumberFormat="0" applyBorder="0" applyAlignment="0" applyProtection="0">
      <alignment vertical="center"/>
    </xf>
    <xf numFmtId="0" fontId="44" fillId="13" borderId="0" applyNumberFormat="0" applyBorder="0" applyAlignment="0" applyProtection="0">
      <alignment vertical="center"/>
    </xf>
    <xf numFmtId="0" fontId="45" fillId="14" borderId="0" applyNumberFormat="0" applyBorder="0" applyAlignment="0" applyProtection="0">
      <alignment vertical="center"/>
    </xf>
    <xf numFmtId="0" fontId="46" fillId="15" borderId="0" applyNumberFormat="0" applyBorder="0" applyAlignment="0" applyProtection="0">
      <alignment vertical="center"/>
    </xf>
    <xf numFmtId="0" fontId="46" fillId="16" borderId="0" applyNumberFormat="0" applyBorder="0" applyAlignment="0" applyProtection="0">
      <alignment vertical="center"/>
    </xf>
    <xf numFmtId="0" fontId="45" fillId="17" borderId="0" applyNumberFormat="0" applyBorder="0" applyAlignment="0" applyProtection="0">
      <alignment vertical="center"/>
    </xf>
    <xf numFmtId="0" fontId="45" fillId="18" borderId="0" applyNumberFormat="0" applyBorder="0" applyAlignment="0" applyProtection="0">
      <alignment vertical="center"/>
    </xf>
    <xf numFmtId="0" fontId="46" fillId="19" borderId="0" applyNumberFormat="0" applyBorder="0" applyAlignment="0" applyProtection="0">
      <alignment vertical="center"/>
    </xf>
    <xf numFmtId="0" fontId="46" fillId="20" borderId="0" applyNumberFormat="0" applyBorder="0" applyAlignment="0" applyProtection="0">
      <alignment vertical="center"/>
    </xf>
    <xf numFmtId="0" fontId="45" fillId="21" borderId="0" applyNumberFormat="0" applyBorder="0" applyAlignment="0" applyProtection="0">
      <alignment vertical="center"/>
    </xf>
    <xf numFmtId="0" fontId="45" fillId="22" borderId="0" applyNumberFormat="0" applyBorder="0" applyAlignment="0" applyProtection="0">
      <alignment vertical="center"/>
    </xf>
    <xf numFmtId="0" fontId="46" fillId="23" borderId="0" applyNumberFormat="0" applyBorder="0" applyAlignment="0" applyProtection="0">
      <alignment vertical="center"/>
    </xf>
    <xf numFmtId="0" fontId="46" fillId="24" borderId="0" applyNumberFormat="0" applyBorder="0" applyAlignment="0" applyProtection="0">
      <alignment vertical="center"/>
    </xf>
    <xf numFmtId="0" fontId="45" fillId="25" borderId="0" applyNumberFormat="0" applyBorder="0" applyAlignment="0" applyProtection="0">
      <alignment vertical="center"/>
    </xf>
    <xf numFmtId="0" fontId="45" fillId="26"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5" fillId="29" borderId="0" applyNumberFormat="0" applyBorder="0" applyAlignment="0" applyProtection="0">
      <alignment vertical="center"/>
    </xf>
    <xf numFmtId="0" fontId="45" fillId="30"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5" fillId="33" borderId="0" applyNumberFormat="0" applyBorder="0" applyAlignment="0" applyProtection="0">
      <alignment vertical="center"/>
    </xf>
    <xf numFmtId="0" fontId="45" fillId="34" borderId="0" applyNumberFormat="0" applyBorder="0" applyAlignment="0" applyProtection="0">
      <alignment vertical="center"/>
    </xf>
    <xf numFmtId="0" fontId="46" fillId="35" borderId="0" applyNumberFormat="0" applyBorder="0" applyAlignment="0" applyProtection="0">
      <alignment vertical="center"/>
    </xf>
    <xf numFmtId="0" fontId="46" fillId="36" borderId="0" applyNumberFormat="0" applyBorder="0" applyAlignment="0" applyProtection="0">
      <alignment vertical="center"/>
    </xf>
    <xf numFmtId="0" fontId="45" fillId="37" borderId="0" applyNumberFormat="0" applyBorder="0" applyAlignment="0" applyProtection="0">
      <alignment vertical="center"/>
    </xf>
    <xf numFmtId="0" fontId="0" fillId="0" borderId="0">
      <alignment vertical="center"/>
    </xf>
    <xf numFmtId="0" fontId="47" fillId="0" borderId="0">
      <alignment vertical="center"/>
    </xf>
  </cellStyleXfs>
  <cellXfs count="140">
    <xf numFmtId="0" fontId="0" fillId="0" borderId="0" xfId="0"/>
    <xf numFmtId="0" fontId="0" fillId="0" borderId="0" xfId="0" applyAlignment="1">
      <alignment horizontal="center"/>
    </xf>
    <xf numFmtId="0" fontId="0" fillId="0" borderId="0" xfId="0" applyFont="1" applyAlignment="1">
      <alignment horizontal="center"/>
    </xf>
    <xf numFmtId="0" fontId="1" fillId="0" borderId="0" xfId="0" applyFont="1" applyAlignment="1">
      <alignment horizontal="center"/>
    </xf>
    <xf numFmtId="0" fontId="2" fillId="2" borderId="1" xfId="0" applyFont="1" applyFill="1" applyBorder="1" applyAlignment="1">
      <alignment horizontal="left"/>
    </xf>
    <xf numFmtId="0" fontId="3" fillId="0" borderId="2" xfId="0" applyFont="1" applyBorder="1" applyAlignment="1">
      <alignment horizontal="center" vertical="center"/>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4" fillId="0" borderId="0" xfId="0" applyFont="1" applyAlignment="1">
      <alignment horizontal="center"/>
    </xf>
    <xf numFmtId="0" fontId="5" fillId="0" borderId="1" xfId="0" applyFont="1" applyBorder="1" applyAlignment="1">
      <alignment horizontal="center"/>
    </xf>
    <xf numFmtId="0" fontId="5" fillId="0" borderId="0" xfId="0" applyFont="1" applyBorder="1" applyAlignment="1">
      <alignment horizontal="center"/>
    </xf>
    <xf numFmtId="0" fontId="2" fillId="2" borderId="4" xfId="0" applyFont="1" applyFill="1" applyBorder="1" applyAlignment="1">
      <alignment horizontal="left"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7" fillId="0" borderId="5" xfId="0" applyFont="1" applyFill="1" applyBorder="1" applyAlignment="1">
      <alignment horizontal="center" vertical="center"/>
    </xf>
    <xf numFmtId="176" fontId="8" fillId="2" borderId="1" xfId="0" applyNumberFormat="1" applyFont="1" applyFill="1" applyBorder="1" applyAlignment="1">
      <alignment horizontal="center" vertical="center"/>
    </xf>
    <xf numFmtId="0" fontId="0" fillId="0" borderId="1" xfId="0" applyBorder="1" applyAlignment="1">
      <alignment horizontal="center"/>
    </xf>
    <xf numFmtId="0" fontId="9" fillId="2" borderId="1" xfId="49" applyFont="1" applyFill="1" applyBorder="1" applyAlignment="1">
      <alignment horizontal="center" vertical="center"/>
    </xf>
    <xf numFmtId="0" fontId="2" fillId="2" borderId="6" xfId="0" applyFont="1" applyFill="1" applyBorder="1" applyAlignment="1">
      <alignment horizontal="center" vertical="center"/>
    </xf>
    <xf numFmtId="0" fontId="9" fillId="2" borderId="0" xfId="49" applyFont="1" applyFill="1" applyBorder="1" applyAlignment="1">
      <alignment horizontal="center" vertical="center"/>
    </xf>
    <xf numFmtId="0" fontId="8" fillId="3" borderId="6" xfId="0" applyFont="1" applyFill="1" applyBorder="1" applyAlignment="1">
      <alignment horizontal="center" vertical="center"/>
    </xf>
    <xf numFmtId="0" fontId="0" fillId="0" borderId="1" xfId="0" applyFont="1" applyBorder="1" applyAlignment="1">
      <alignment horizontal="center"/>
    </xf>
    <xf numFmtId="0" fontId="4" fillId="0" borderId="1" xfId="0" applyFont="1" applyBorder="1" applyAlignment="1">
      <alignment horizontal="center"/>
    </xf>
    <xf numFmtId="0" fontId="4" fillId="4" borderId="1" xfId="0" applyFont="1" applyFill="1" applyBorder="1" applyAlignment="1">
      <alignment horizontal="center"/>
    </xf>
    <xf numFmtId="0" fontId="4" fillId="0" borderId="1" xfId="0" applyFont="1" applyFill="1" applyBorder="1" applyAlignment="1">
      <alignment horizontal="center"/>
    </xf>
    <xf numFmtId="0" fontId="4" fillId="0" borderId="1" xfId="0" applyFont="1" applyBorder="1" applyAlignment="1">
      <alignment horizontal="center" vertical="center"/>
    </xf>
    <xf numFmtId="0" fontId="5" fillId="5" borderId="1" xfId="0" applyFont="1" applyFill="1" applyBorder="1" applyAlignment="1">
      <alignment horizontal="center"/>
    </xf>
    <xf numFmtId="0" fontId="10" fillId="5" borderId="1" xfId="0" applyFont="1" applyFill="1" applyBorder="1" applyAlignment="1">
      <alignment horizontal="center"/>
    </xf>
    <xf numFmtId="0" fontId="5" fillId="6" borderId="1" xfId="0" applyFont="1" applyFill="1" applyBorder="1" applyAlignment="1">
      <alignment horizontal="center"/>
    </xf>
    <xf numFmtId="0" fontId="5" fillId="2" borderId="1" xfId="0" applyFont="1" applyFill="1" applyBorder="1" applyAlignment="1">
      <alignment horizontal="center"/>
    </xf>
    <xf numFmtId="0" fontId="0" fillId="5" borderId="0" xfId="0" applyFill="1"/>
    <xf numFmtId="0" fontId="5" fillId="0" borderId="0" xfId="0" applyFont="1"/>
    <xf numFmtId="0" fontId="5" fillId="0" borderId="0" xfId="0" applyFont="1" applyAlignment="1">
      <alignment horizontal="center"/>
    </xf>
    <xf numFmtId="0" fontId="4" fillId="0" borderId="7" xfId="0" applyFont="1" applyBorder="1" applyAlignment="1">
      <alignment horizontal="center" vertical="center"/>
    </xf>
    <xf numFmtId="0" fontId="11" fillId="0" borderId="1" xfId="0" applyNumberFormat="1" applyFont="1" applyFill="1" applyBorder="1" applyAlignment="1">
      <alignment horizontal="center" vertical="center"/>
    </xf>
    <xf numFmtId="0" fontId="5" fillId="0" borderId="1" xfId="0" applyFont="1" applyFill="1" applyBorder="1" applyAlignment="1">
      <alignment horizontal="center"/>
    </xf>
    <xf numFmtId="0" fontId="4" fillId="0" borderId="0" xfId="0" applyFont="1" applyBorder="1" applyAlignment="1">
      <alignment horizontal="center" vertical="center"/>
    </xf>
    <xf numFmtId="0" fontId="4" fillId="5" borderId="1" xfId="0" applyFont="1" applyFill="1" applyBorder="1" applyAlignment="1">
      <alignment horizontal="center"/>
    </xf>
    <xf numFmtId="0" fontId="5" fillId="5" borderId="1" xfId="0" applyFont="1" applyFill="1" applyBorder="1" applyAlignment="1">
      <alignment horizontal="center" wrapText="1"/>
    </xf>
    <xf numFmtId="0" fontId="2" fillId="2" borderId="1" xfId="0" applyFont="1" applyFill="1" applyBorder="1" applyAlignment="1">
      <alignment horizontal="center"/>
    </xf>
    <xf numFmtId="0" fontId="5" fillId="0" borderId="1" xfId="0" applyFont="1" applyBorder="1" applyAlignment="1">
      <alignment horizontal="center" wrapText="1"/>
    </xf>
    <xf numFmtId="0" fontId="5" fillId="5" borderId="1" xfId="0" applyFont="1" applyFill="1" applyBorder="1"/>
    <xf numFmtId="0" fontId="5" fillId="0" borderId="1" xfId="0" applyFont="1" applyBorder="1"/>
    <xf numFmtId="0" fontId="0" fillId="0" borderId="0" xfId="0" applyFont="1"/>
    <xf numFmtId="0" fontId="0" fillId="0" borderId="0" xfId="0" applyFont="1" applyAlignment="1">
      <alignment horizontal="center" wrapText="1"/>
    </xf>
    <xf numFmtId="0" fontId="12" fillId="0" borderId="0" xfId="0" applyFont="1" applyFill="1" applyBorder="1" applyAlignment="1">
      <alignment horizontal="center" vertical="center"/>
    </xf>
    <xf numFmtId="0" fontId="0" fillId="0" borderId="0" xfId="0" applyAlignment="1">
      <alignment vertical="center"/>
    </xf>
    <xf numFmtId="0" fontId="13" fillId="0" borderId="0" xfId="0" applyFont="1" applyFill="1" applyAlignment="1">
      <alignment horizontal="center" vertical="center"/>
    </xf>
    <xf numFmtId="0" fontId="14" fillId="0" borderId="8" xfId="0" applyFont="1" applyFill="1" applyBorder="1" applyAlignment="1">
      <alignment horizontal="left" vertical="center"/>
    </xf>
    <xf numFmtId="0" fontId="14" fillId="0" borderId="0" xfId="0" applyFont="1" applyFill="1" applyAlignment="1">
      <alignment horizontal="left" vertical="center" wrapText="1"/>
    </xf>
    <xf numFmtId="0" fontId="15" fillId="0" borderId="0" xfId="0" applyFont="1" applyFill="1" applyAlignment="1">
      <alignment horizontal="right" vertical="center" wrapText="1"/>
    </xf>
    <xf numFmtId="0" fontId="15" fillId="0" borderId="0" xfId="0" applyFont="1" applyFill="1" applyAlignment="1">
      <alignment horizontal="center" vertical="center" wrapText="1"/>
    </xf>
    <xf numFmtId="0" fontId="15" fillId="0" borderId="0" xfId="0" applyFont="1" applyFill="1" applyAlignment="1">
      <alignment vertical="center" wrapText="1"/>
    </xf>
    <xf numFmtId="177" fontId="15" fillId="0" borderId="8" xfId="0" applyNumberFormat="1" applyFont="1" applyFill="1" applyBorder="1" applyAlignment="1">
      <alignment horizontal="right" vertical="center" wrapText="1"/>
    </xf>
    <xf numFmtId="0" fontId="0" fillId="0" borderId="0" xfId="0" applyFont="1" applyAlignment="1">
      <alignment vertical="center"/>
    </xf>
    <xf numFmtId="0" fontId="16" fillId="0" borderId="1" xfId="0" applyFont="1" applyFill="1" applyBorder="1" applyAlignment="1">
      <alignment horizontal="center" vertical="center"/>
    </xf>
    <xf numFmtId="0" fontId="15" fillId="0" borderId="1" xfId="0" applyFont="1" applyFill="1" applyBorder="1" applyAlignment="1">
      <alignment horizontal="center" vertical="center" wrapText="1"/>
    </xf>
    <xf numFmtId="0" fontId="17" fillId="0" borderId="1" xfId="0" applyFont="1" applyFill="1" applyBorder="1" applyAlignment="1">
      <alignment horizontal="center" vertical="center"/>
    </xf>
    <xf numFmtId="0" fontId="18" fillId="0" borderId="0" xfId="0" applyFont="1" applyAlignment="1">
      <alignment horizontal="center" vertical="center" wrapText="1"/>
    </xf>
    <xf numFmtId="178" fontId="15" fillId="0" borderId="1" xfId="0" applyNumberFormat="1" applyFont="1" applyFill="1" applyBorder="1" applyAlignment="1">
      <alignment horizontal="center" vertical="center" wrapText="1"/>
    </xf>
    <xf numFmtId="0" fontId="19" fillId="2" borderId="1" xfId="0" applyFont="1" applyFill="1" applyBorder="1" applyAlignment="1">
      <alignment horizontal="center" vertical="center" wrapText="1"/>
    </xf>
    <xf numFmtId="0" fontId="19" fillId="2" borderId="5" xfId="0" applyFont="1" applyFill="1" applyBorder="1" applyAlignment="1">
      <alignment horizontal="center" vertical="center" wrapText="1"/>
    </xf>
    <xf numFmtId="0" fontId="0" fillId="0" borderId="1" xfId="0" applyFill="1" applyBorder="1" applyAlignment="1">
      <alignment horizontal="center" vertical="center"/>
    </xf>
    <xf numFmtId="0" fontId="0" fillId="0" borderId="9" xfId="0" applyFont="1" applyFill="1" applyBorder="1" applyAlignment="1">
      <alignment horizontal="center" vertical="center"/>
    </xf>
    <xf numFmtId="179" fontId="0" fillId="0" borderId="9" xfId="0" applyNumberFormat="1" applyFont="1" applyFill="1" applyBorder="1" applyAlignment="1">
      <alignment horizontal="center" vertical="center"/>
    </xf>
    <xf numFmtId="0" fontId="1" fillId="0" borderId="9" xfId="0" applyFont="1" applyFill="1" applyBorder="1" applyAlignment="1">
      <alignment horizontal="center" vertical="center" wrapText="1"/>
    </xf>
    <xf numFmtId="2" fontId="1" fillId="0" borderId="9" xfId="0" applyNumberFormat="1" applyFont="1" applyFill="1" applyBorder="1" applyAlignment="1">
      <alignment horizontal="center" vertical="center"/>
    </xf>
    <xf numFmtId="0" fontId="0" fillId="2" borderId="0" xfId="0" applyFont="1" applyFill="1" applyAlignment="1">
      <alignment horizontal="center" vertical="center"/>
    </xf>
    <xf numFmtId="0" fontId="0" fillId="2" borderId="0" xfId="0" applyFill="1" applyAlignment="1">
      <alignment horizontal="center" vertical="center"/>
    </xf>
    <xf numFmtId="0" fontId="0" fillId="0" borderId="10" xfId="0" applyFont="1" applyFill="1" applyBorder="1" applyAlignment="1">
      <alignment horizontal="center" vertical="center"/>
    </xf>
    <xf numFmtId="179" fontId="0" fillId="0" borderId="10" xfId="0" applyNumberFormat="1" applyFont="1" applyFill="1" applyBorder="1" applyAlignment="1">
      <alignment horizontal="center" vertical="center"/>
    </xf>
    <xf numFmtId="0" fontId="1" fillId="0" borderId="5" xfId="0" applyFont="1" applyFill="1" applyBorder="1" applyAlignment="1">
      <alignment horizontal="center" vertical="center" wrapText="1"/>
    </xf>
    <xf numFmtId="2" fontId="1" fillId="0" borderId="5" xfId="0" applyNumberFormat="1" applyFont="1" applyFill="1" applyBorder="1" applyAlignment="1">
      <alignment horizontal="center" vertical="center"/>
    </xf>
    <xf numFmtId="0" fontId="0" fillId="0" borderId="1" xfId="0" applyFont="1" applyFill="1" applyBorder="1" applyAlignment="1">
      <alignment horizontal="center" vertical="center"/>
    </xf>
    <xf numFmtId="2" fontId="0" fillId="0" borderId="1" xfId="0" applyNumberFormat="1" applyFill="1" applyBorder="1" applyAlignment="1">
      <alignment horizontal="center" vertical="center"/>
    </xf>
    <xf numFmtId="1" fontId="0" fillId="0" borderId="1" xfId="0" applyNumberFormat="1" applyFill="1" applyBorder="1" applyAlignment="1">
      <alignment horizontal="center" vertical="center"/>
    </xf>
    <xf numFmtId="0" fontId="20" fillId="0" borderId="1" xfId="0" applyFont="1" applyFill="1" applyBorder="1" applyAlignment="1">
      <alignment horizontal="center" vertical="center"/>
    </xf>
    <xf numFmtId="0" fontId="1" fillId="0" borderId="10" xfId="0" applyFont="1" applyFill="1" applyBorder="1" applyAlignment="1">
      <alignment horizontal="center" vertical="center" wrapText="1"/>
    </xf>
    <xf numFmtId="2" fontId="1" fillId="0" borderId="10" xfId="0" applyNumberFormat="1" applyFont="1" applyFill="1" applyBorder="1" applyAlignment="1">
      <alignment horizontal="center" vertical="center"/>
    </xf>
    <xf numFmtId="0" fontId="20" fillId="0" borderId="1" xfId="0" applyFont="1" applyFill="1" applyBorder="1" applyAlignment="1">
      <alignment horizontal="left" vertical="center"/>
    </xf>
    <xf numFmtId="0" fontId="21" fillId="0" borderId="1" xfId="0" applyFont="1" applyFill="1" applyBorder="1" applyAlignment="1">
      <alignment horizontal="center" vertical="center" wrapText="1"/>
    </xf>
    <xf numFmtId="0" fontId="22" fillId="0" borderId="1" xfId="0" applyFont="1" applyFill="1" applyBorder="1" applyAlignment="1">
      <alignment horizontal="center" vertical="center" wrapText="1"/>
    </xf>
    <xf numFmtId="0" fontId="22" fillId="0" borderId="11" xfId="0" applyFont="1" applyFill="1" applyBorder="1" applyAlignment="1">
      <alignment horizontal="center" vertical="center" wrapText="1"/>
    </xf>
    <xf numFmtId="0" fontId="23" fillId="0" borderId="10" xfId="0" applyFont="1" applyFill="1" applyBorder="1" applyAlignment="1">
      <alignment horizontal="center" vertical="center"/>
    </xf>
    <xf numFmtId="0" fontId="24" fillId="0" borderId="10" xfId="0" applyFont="1" applyFill="1" applyBorder="1" applyAlignment="1">
      <alignment horizontal="center" vertical="center" wrapText="1"/>
    </xf>
    <xf numFmtId="0" fontId="24" fillId="0" borderId="12" xfId="0" applyFont="1" applyFill="1" applyBorder="1" applyAlignment="1">
      <alignment horizontal="center" vertical="center" wrapText="1"/>
    </xf>
    <xf numFmtId="0" fontId="25" fillId="0" borderId="12" xfId="0" applyFont="1" applyFill="1" applyBorder="1" applyAlignment="1">
      <alignment horizontal="center" vertical="center"/>
    </xf>
    <xf numFmtId="0" fontId="25" fillId="0" borderId="13" xfId="0" applyFont="1" applyFill="1" applyBorder="1" applyAlignment="1">
      <alignment horizontal="center" vertical="center"/>
    </xf>
    <xf numFmtId="0" fontId="25" fillId="0" borderId="12" xfId="0" applyFont="1" applyFill="1" applyBorder="1" applyAlignment="1">
      <alignment horizontal="center" vertical="center" wrapText="1"/>
    </xf>
    <xf numFmtId="0" fontId="25" fillId="0" borderId="13" xfId="0" applyFont="1" applyFill="1" applyBorder="1" applyAlignment="1">
      <alignment horizontal="center" vertical="center" wrapText="1"/>
    </xf>
    <xf numFmtId="0" fontId="25" fillId="0" borderId="10" xfId="0" applyFont="1" applyFill="1" applyBorder="1" applyAlignment="1">
      <alignment horizontal="center" vertical="center" wrapText="1"/>
    </xf>
    <xf numFmtId="0" fontId="23" fillId="0" borderId="1" xfId="0" applyFont="1" applyFill="1" applyBorder="1" applyAlignment="1">
      <alignment horizontal="center" vertical="center"/>
    </xf>
    <xf numFmtId="0" fontId="23" fillId="0" borderId="1" xfId="0" applyFont="1" applyFill="1" applyBorder="1" applyAlignment="1">
      <alignment horizontal="center" vertical="center" wrapText="1"/>
    </xf>
    <xf numFmtId="0" fontId="23" fillId="0" borderId="2" xfId="0" applyFont="1" applyFill="1" applyBorder="1" applyAlignment="1">
      <alignment horizontal="center" vertical="center" wrapText="1"/>
    </xf>
    <xf numFmtId="179" fontId="23" fillId="0" borderId="2" xfId="0" applyNumberFormat="1" applyFont="1" applyFill="1" applyBorder="1" applyAlignment="1">
      <alignment horizontal="center" vertical="center"/>
    </xf>
    <xf numFmtId="179" fontId="23" fillId="0" borderId="3" xfId="0" applyNumberFormat="1" applyFont="1" applyFill="1" applyBorder="1" applyAlignment="1">
      <alignment horizontal="center" vertical="center"/>
    </xf>
    <xf numFmtId="179" fontId="23" fillId="0" borderId="1" xfId="0" applyNumberFormat="1" applyFont="1" applyFill="1" applyBorder="1" applyAlignment="1">
      <alignment horizontal="center" vertical="center" wrapText="1"/>
    </xf>
    <xf numFmtId="179" fontId="23" fillId="0" borderId="1" xfId="0" applyNumberFormat="1" applyFont="1" applyFill="1" applyBorder="1" applyAlignment="1">
      <alignment horizontal="center" vertical="center"/>
    </xf>
    <xf numFmtId="0" fontId="23" fillId="0" borderId="14" xfId="0" applyFont="1" applyFill="1" applyBorder="1" applyAlignment="1">
      <alignment horizontal="center" vertical="center" wrapText="1"/>
    </xf>
    <xf numFmtId="0" fontId="23" fillId="0" borderId="3" xfId="0" applyFont="1" applyFill="1" applyBorder="1" applyAlignment="1">
      <alignment horizontal="center" vertical="center" wrapText="1"/>
    </xf>
    <xf numFmtId="178" fontId="26" fillId="0" borderId="1" xfId="0" applyNumberFormat="1" applyFont="1" applyFill="1" applyBorder="1" applyAlignment="1">
      <alignment horizontal="center" vertical="center" wrapText="1"/>
    </xf>
    <xf numFmtId="0" fontId="24" fillId="0" borderId="1" xfId="0" applyFont="1" applyFill="1" applyBorder="1" applyAlignment="1">
      <alignment horizontal="center" vertical="center" wrapText="1"/>
    </xf>
    <xf numFmtId="0" fontId="25" fillId="0" borderId="1" xfId="0" applyFont="1" applyFill="1" applyBorder="1" applyAlignment="1">
      <alignment horizontal="center" vertical="center"/>
    </xf>
    <xf numFmtId="0" fontId="25" fillId="0" borderId="1" xfId="0" applyFont="1" applyFill="1" applyBorder="1" applyAlignment="1">
      <alignment horizontal="center" vertical="center" wrapText="1"/>
    </xf>
    <xf numFmtId="0" fontId="25" fillId="0" borderId="11" xfId="0" applyFont="1" applyFill="1" applyBorder="1" applyAlignment="1">
      <alignment horizontal="center" vertical="center" wrapText="1"/>
    </xf>
    <xf numFmtId="0" fontId="23" fillId="0" borderId="15" xfId="0" applyFont="1" applyFill="1" applyBorder="1" applyAlignment="1">
      <alignment horizontal="center" vertical="center"/>
    </xf>
    <xf numFmtId="0" fontId="23" fillId="0" borderId="12" xfId="0" applyFont="1" applyFill="1" applyBorder="1" applyAlignment="1">
      <alignment horizontal="center" vertical="center" wrapText="1"/>
    </xf>
    <xf numFmtId="0" fontId="23" fillId="0" borderId="0" xfId="0" applyFont="1" applyFill="1" applyBorder="1" applyAlignment="1">
      <alignment horizontal="center" vertical="center" wrapText="1"/>
    </xf>
    <xf numFmtId="0" fontId="23" fillId="0" borderId="13" xfId="0" applyFont="1" applyFill="1" applyBorder="1" applyAlignment="1">
      <alignment horizontal="center" vertical="center" wrapText="1"/>
    </xf>
    <xf numFmtId="0" fontId="27" fillId="0" borderId="10" xfId="0" applyFont="1" applyFill="1" applyBorder="1" applyAlignment="1">
      <alignment horizontal="center" vertical="center" wrapText="1"/>
    </xf>
    <xf numFmtId="0" fontId="27" fillId="0" borderId="12" xfId="0" applyFont="1" applyFill="1" applyBorder="1" applyAlignment="1">
      <alignment horizontal="center" vertical="center" wrapText="1"/>
    </xf>
    <xf numFmtId="0" fontId="27" fillId="0" borderId="13" xfId="0" applyFont="1" applyFill="1" applyBorder="1" applyAlignment="1">
      <alignment horizontal="center" vertical="center" wrapText="1"/>
    </xf>
    <xf numFmtId="0" fontId="23" fillId="0" borderId="11" xfId="0" applyFont="1" applyFill="1" applyBorder="1" applyAlignment="1">
      <alignment horizontal="center" vertical="center"/>
    </xf>
    <xf numFmtId="0" fontId="23" fillId="0" borderId="0" xfId="0" applyFont="1" applyFill="1" applyAlignment="1">
      <alignment horizontal="center" vertical="center" wrapText="1"/>
    </xf>
    <xf numFmtId="0" fontId="27" fillId="0" borderId="1" xfId="0" applyFont="1" applyFill="1" applyBorder="1" applyAlignment="1">
      <alignment horizontal="center" vertical="center" wrapText="1"/>
    </xf>
    <xf numFmtId="0" fontId="25" fillId="0" borderId="16" xfId="0" applyFont="1" applyFill="1" applyBorder="1" applyAlignment="1">
      <alignment horizontal="center" vertical="center" wrapText="1"/>
    </xf>
    <xf numFmtId="0" fontId="25" fillId="0" borderId="7" xfId="0" applyFont="1" applyFill="1" applyBorder="1" applyAlignment="1">
      <alignment horizontal="center" vertical="center" wrapText="1"/>
    </xf>
    <xf numFmtId="0" fontId="25" fillId="0" borderId="17" xfId="0" applyFont="1" applyFill="1" applyBorder="1" applyAlignment="1">
      <alignment horizontal="center" vertical="center" wrapText="1"/>
    </xf>
    <xf numFmtId="0" fontId="25" fillId="0" borderId="15" xfId="0" applyFont="1" applyFill="1" applyBorder="1" applyAlignment="1">
      <alignment horizontal="center" vertical="center" wrapText="1"/>
    </xf>
    <xf numFmtId="0" fontId="25" fillId="0" borderId="8" xfId="0" applyFont="1" applyFill="1" applyBorder="1" applyAlignment="1">
      <alignment horizontal="center" vertical="center" wrapText="1"/>
    </xf>
    <xf numFmtId="0" fontId="25" fillId="0" borderId="18" xfId="0" applyFont="1" applyFill="1" applyBorder="1" applyAlignment="1">
      <alignment horizontal="center" vertical="center" wrapText="1"/>
    </xf>
    <xf numFmtId="0" fontId="23" fillId="0" borderId="9" xfId="0" applyFont="1" applyFill="1" applyBorder="1" applyAlignment="1">
      <alignment horizontal="center" vertical="center"/>
    </xf>
    <xf numFmtId="0" fontId="27" fillId="0" borderId="9" xfId="0" applyFont="1" applyFill="1" applyBorder="1" applyAlignment="1">
      <alignment horizontal="center" vertical="center" wrapText="1"/>
    </xf>
    <xf numFmtId="0" fontId="27" fillId="0" borderId="15" xfId="0" applyFont="1" applyFill="1" applyBorder="1" applyAlignment="1">
      <alignment horizontal="center" vertical="center" wrapText="1"/>
    </xf>
    <xf numFmtId="0" fontId="27" fillId="0" borderId="4" xfId="0" applyFont="1" applyFill="1" applyBorder="1" applyAlignment="1">
      <alignment horizontal="center" vertical="center" wrapText="1"/>
    </xf>
    <xf numFmtId="178" fontId="18" fillId="0" borderId="2" xfId="0" applyNumberFormat="1" applyFont="1" applyFill="1" applyBorder="1" applyAlignment="1">
      <alignment horizontal="center" vertical="center"/>
    </xf>
    <xf numFmtId="178" fontId="18" fillId="0" borderId="3" xfId="0" applyNumberFormat="1" applyFont="1" applyFill="1" applyBorder="1" applyAlignment="1">
      <alignment horizontal="center" vertical="center"/>
    </xf>
    <xf numFmtId="0" fontId="12" fillId="0" borderId="1" xfId="0" applyFont="1" applyFill="1" applyBorder="1" applyAlignment="1">
      <alignment horizontal="center" vertical="center"/>
    </xf>
    <xf numFmtId="0" fontId="12" fillId="0" borderId="11" xfId="0" applyFont="1" applyFill="1" applyBorder="1" applyAlignment="1">
      <alignment horizontal="center" vertical="center"/>
    </xf>
    <xf numFmtId="178" fontId="18" fillId="0" borderId="16" xfId="0" applyNumberFormat="1" applyFont="1" applyFill="1" applyBorder="1" applyAlignment="1">
      <alignment horizontal="center" vertical="center"/>
    </xf>
    <xf numFmtId="178" fontId="18" fillId="0" borderId="19" xfId="0" applyNumberFormat="1" applyFont="1" applyFill="1" applyBorder="1" applyAlignment="1">
      <alignment horizontal="center" vertical="center"/>
    </xf>
    <xf numFmtId="0" fontId="23" fillId="0" borderId="1" xfId="0" applyFont="1" applyFill="1" applyBorder="1" applyAlignment="1">
      <alignment horizontal="left" vertical="center" wrapText="1"/>
    </xf>
    <xf numFmtId="0" fontId="23" fillId="0" borderId="11" xfId="0" applyFont="1" applyFill="1" applyBorder="1" applyAlignment="1">
      <alignment horizontal="left" vertical="center" wrapText="1"/>
    </xf>
    <xf numFmtId="0" fontId="0" fillId="0" borderId="1" xfId="0" applyBorder="1" applyAlignment="1">
      <alignmen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4" xfId="0" applyBorder="1" applyAlignment="1">
      <alignment horizontal="center" vertical="center"/>
    </xf>
    <xf numFmtId="0" fontId="0" fillId="0" borderId="3" xfId="0" applyBorder="1" applyAlignment="1">
      <alignment horizontal="center" vertical="center"/>
    </xf>
    <xf numFmtId="0" fontId="20" fillId="0" borderId="1" xfId="0" applyFont="1" applyBorder="1" applyAlignment="1">
      <alignment vertical="center"/>
    </xf>
    <xf numFmtId="0" fontId="20" fillId="0" borderId="1" xfId="0" applyFont="1" applyBorder="1" applyAlignment="1">
      <alignment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_Sheet1"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14</xdr:col>
      <xdr:colOff>828675</xdr:colOff>
      <xdr:row>0</xdr:row>
      <xdr:rowOff>38100</xdr:rowOff>
    </xdr:from>
    <xdr:to>
      <xdr:col>15</xdr:col>
      <xdr:colOff>567913</xdr:colOff>
      <xdr:row>0</xdr:row>
      <xdr:rowOff>809624</xdr:rowOff>
    </xdr:to>
    <xdr:pic>
      <xdr:nvPicPr>
        <xdr:cNvPr id="3" name="图片 2"/>
        <xdr:cNvPicPr>
          <a:picLocks noChangeAspect="1"/>
        </xdr:cNvPicPr>
      </xdr:nvPicPr>
      <xdr:blipFill>
        <a:blip r:embed="rId1"/>
        <a:stretch>
          <a:fillRect/>
        </a:stretch>
      </xdr:blipFill>
      <xdr:spPr>
        <a:xfrm>
          <a:off x="9942195" y="38100"/>
          <a:ext cx="1153795" cy="770890"/>
        </a:xfrm>
        <a:prstGeom prst="rect">
          <a:avLst/>
        </a:prstGeom>
      </xdr:spPr>
    </xdr:pic>
    <xdr:clientData/>
  </xdr:twoCellAnchor>
  <xdr:twoCellAnchor>
    <xdr:from>
      <xdr:col>16</xdr:col>
      <xdr:colOff>1090295</xdr:colOff>
      <xdr:row>3</xdr:row>
      <xdr:rowOff>118745</xdr:rowOff>
    </xdr:from>
    <xdr:to>
      <xdr:col>16</xdr:col>
      <xdr:colOff>1092835</xdr:colOff>
      <xdr:row>3</xdr:row>
      <xdr:rowOff>457200</xdr:rowOff>
    </xdr:to>
    <xdr:cxnSp>
      <xdr:nvCxnSpPr>
        <xdr:cNvPr id="6" name="直接箭头连接符 5"/>
        <xdr:cNvCxnSpPr/>
      </xdr:nvCxnSpPr>
      <xdr:spPr>
        <a:xfrm>
          <a:off x="11282680" y="1401445"/>
          <a:ext cx="0" cy="90805"/>
        </a:xfrm>
        <a:prstGeom prst="straightConnector1">
          <a:avLst/>
        </a:prstGeom>
        <a:ln>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1788795</xdr:colOff>
      <xdr:row>3</xdr:row>
      <xdr:rowOff>106045</xdr:rowOff>
    </xdr:from>
    <xdr:to>
      <xdr:col>17</xdr:col>
      <xdr:colOff>1791335</xdr:colOff>
      <xdr:row>3</xdr:row>
      <xdr:rowOff>444500</xdr:rowOff>
    </xdr:to>
    <xdr:cxnSp>
      <xdr:nvCxnSpPr>
        <xdr:cNvPr id="7" name="直接箭头连接符 6"/>
        <xdr:cNvCxnSpPr/>
      </xdr:nvCxnSpPr>
      <xdr:spPr>
        <a:xfrm>
          <a:off x="11282680" y="1388745"/>
          <a:ext cx="0" cy="103505"/>
        </a:xfrm>
        <a:prstGeom prst="straightConnector1">
          <a:avLst/>
        </a:prstGeom>
        <a:ln>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1122045</xdr:colOff>
      <xdr:row>3</xdr:row>
      <xdr:rowOff>118745</xdr:rowOff>
    </xdr:from>
    <xdr:to>
      <xdr:col>18</xdr:col>
      <xdr:colOff>1124585</xdr:colOff>
      <xdr:row>3</xdr:row>
      <xdr:rowOff>457200</xdr:rowOff>
    </xdr:to>
    <xdr:cxnSp>
      <xdr:nvCxnSpPr>
        <xdr:cNvPr id="8" name="直接箭头连接符 7"/>
        <xdr:cNvCxnSpPr/>
      </xdr:nvCxnSpPr>
      <xdr:spPr>
        <a:xfrm>
          <a:off x="11282680" y="1401445"/>
          <a:ext cx="0" cy="90805"/>
        </a:xfrm>
        <a:prstGeom prst="straightConnector1">
          <a:avLst/>
        </a:prstGeom>
        <a:ln>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142875</xdr:colOff>
      <xdr:row>0</xdr:row>
      <xdr:rowOff>104775</xdr:rowOff>
    </xdr:from>
    <xdr:to>
      <xdr:col>2</xdr:col>
      <xdr:colOff>422775</xdr:colOff>
      <xdr:row>0</xdr:row>
      <xdr:rowOff>542925</xdr:rowOff>
    </xdr:to>
    <xdr:pic>
      <xdr:nvPicPr>
        <xdr:cNvPr id="9" name="图片 8"/>
        <xdr:cNvPicPr>
          <a:picLocks noChangeAspect="1"/>
        </xdr:cNvPicPr>
      </xdr:nvPicPr>
      <xdr:blipFill>
        <a:blip r:embed="rId2"/>
        <a:stretch>
          <a:fillRect/>
        </a:stretch>
      </xdr:blipFill>
      <xdr:spPr>
        <a:xfrm>
          <a:off x="142875" y="104775"/>
          <a:ext cx="999490" cy="438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V45"/>
  <sheetViews>
    <sheetView tabSelected="1" topLeftCell="A29" workbookViewId="0">
      <selection activeCell="N46" sqref="N46"/>
    </sheetView>
  </sheetViews>
  <sheetFormatPr defaultColWidth="9" defaultRowHeight="13.8"/>
  <cols>
    <col min="1" max="2" width="5.25" style="46" customWidth="1"/>
    <col min="3" max="3" width="13" style="46" customWidth="1"/>
    <col min="4" max="4" width="5.25" style="46" customWidth="1"/>
    <col min="5" max="6" width="9" style="46"/>
    <col min="7" max="7" width="20.75" style="46" customWidth="1"/>
    <col min="8" max="8" width="17.6296296296296" style="46" customWidth="1"/>
    <col min="9" max="9" width="6" style="46" customWidth="1"/>
    <col min="10" max="10" width="5.25" style="46" customWidth="1"/>
    <col min="11" max="11" width="7.12962962962963" style="46" customWidth="1"/>
    <col min="12" max="12" width="9" style="46"/>
    <col min="13" max="13" width="11.3796296296296" style="46"/>
    <col min="14" max="14" width="9" style="46"/>
    <col min="15" max="15" width="20.6296296296296" customWidth="1"/>
    <col min="16" max="16" width="11" customWidth="1"/>
    <col min="17" max="17" width="10.8796296296296" style="46" hidden="1" customWidth="1"/>
    <col min="18" max="18" width="18.1296296296296" style="46" hidden="1" customWidth="1"/>
    <col min="19" max="19" width="20.6296296296296" style="46" hidden="1" customWidth="1"/>
    <col min="20" max="21" width="8" hidden="1" customWidth="1"/>
    <col min="22" max="22" width="5.62962962962963" hidden="1" customWidth="1"/>
    <col min="24" max="24" width="9.37962962962963"/>
  </cols>
  <sheetData>
    <row r="1" ht="68" customHeight="1" spans="1:22">
      <c r="A1" s="47" t="s">
        <v>0</v>
      </c>
      <c r="B1" s="47"/>
      <c r="C1" s="47"/>
      <c r="D1" s="47"/>
      <c r="E1" s="47"/>
      <c r="F1" s="47"/>
      <c r="G1" s="47"/>
      <c r="H1" s="47"/>
      <c r="I1" s="47"/>
      <c r="J1" s="47"/>
      <c r="K1" s="47"/>
      <c r="L1" s="47"/>
      <c r="M1" s="47"/>
      <c r="N1" s="47"/>
      <c r="O1" s="47"/>
      <c r="P1" s="47"/>
    </row>
    <row r="2" ht="16.5" customHeight="1" spans="1:22">
      <c r="A2" s="48" t="s">
        <v>1</v>
      </c>
      <c r="B2" s="48"/>
      <c r="C2" s="49" t="s">
        <v>2</v>
      </c>
      <c r="D2" s="49"/>
      <c r="E2" s="49"/>
      <c r="F2" s="49"/>
      <c r="G2" s="49"/>
      <c r="H2" s="50" t="s">
        <v>3</v>
      </c>
      <c r="I2" s="51" t="s">
        <v>4</v>
      </c>
      <c r="J2" s="51"/>
      <c r="K2" s="51"/>
      <c r="L2" s="52"/>
      <c r="M2" s="51"/>
      <c r="N2" s="51"/>
      <c r="O2" s="53">
        <f ca="1">TODAY()</f>
        <v>46139</v>
      </c>
      <c r="P2" s="53"/>
      <c r="S2" s="54"/>
    </row>
    <row r="3" ht="16.5" customHeight="1" spans="1:22">
      <c r="A3" s="55" t="s">
        <v>5</v>
      </c>
      <c r="B3" s="55"/>
      <c r="C3" s="55"/>
      <c r="D3" s="55"/>
      <c r="E3" s="56" t="s">
        <v>6</v>
      </c>
      <c r="F3" s="56"/>
      <c r="G3" s="56" t="s">
        <v>7</v>
      </c>
      <c r="H3" s="56"/>
      <c r="I3" s="56"/>
      <c r="J3" s="56"/>
      <c r="K3" s="56"/>
      <c r="L3" s="56"/>
      <c r="M3" s="56" t="s">
        <v>8</v>
      </c>
      <c r="N3" s="55" t="s">
        <v>9</v>
      </c>
      <c r="O3" s="57" t="s">
        <v>10</v>
      </c>
      <c r="P3" s="57" t="s">
        <v>11</v>
      </c>
    </row>
    <row r="4" ht="16.5" customHeight="1" spans="1:22">
      <c r="A4" s="57" t="s">
        <v>12</v>
      </c>
      <c r="B4" s="57" t="s">
        <v>13</v>
      </c>
      <c r="C4" s="57" t="s">
        <v>14</v>
      </c>
      <c r="D4" s="55" t="s">
        <v>15</v>
      </c>
      <c r="E4" s="55" t="s">
        <v>16</v>
      </c>
      <c r="F4" s="55" t="s">
        <v>17</v>
      </c>
      <c r="G4" s="57" t="s">
        <v>18</v>
      </c>
      <c r="H4" s="57" t="s">
        <v>19</v>
      </c>
      <c r="I4" s="57" t="s">
        <v>20</v>
      </c>
      <c r="J4" s="57" t="s">
        <v>21</v>
      </c>
      <c r="K4" s="55" t="s">
        <v>22</v>
      </c>
      <c r="L4" s="55" t="s">
        <v>23</v>
      </c>
      <c r="M4" s="56"/>
      <c r="N4" s="57" t="s">
        <v>24</v>
      </c>
      <c r="O4" s="57"/>
      <c r="P4" s="57"/>
      <c r="Q4" s="58" t="s">
        <v>25</v>
      </c>
      <c r="R4" s="58" t="s">
        <v>25</v>
      </c>
      <c r="S4" s="58" t="s">
        <v>25</v>
      </c>
    </row>
    <row r="5" ht="16.5" customHeight="1" spans="1:22">
      <c r="A5" s="57"/>
      <c r="B5" s="57"/>
      <c r="C5" s="57"/>
      <c r="D5" s="59" t="s">
        <v>26</v>
      </c>
      <c r="E5" s="55" t="s">
        <v>27</v>
      </c>
      <c r="F5" s="55" t="s">
        <v>28</v>
      </c>
      <c r="G5" s="57"/>
      <c r="H5" s="57"/>
      <c r="I5" s="57"/>
      <c r="J5" s="57"/>
      <c r="K5" s="55" t="s">
        <v>29</v>
      </c>
      <c r="L5" s="55" t="s">
        <v>29</v>
      </c>
      <c r="M5" s="55" t="s">
        <v>27</v>
      </c>
      <c r="N5" s="57"/>
      <c r="O5" s="57"/>
      <c r="P5" s="57"/>
      <c r="Q5" s="60" t="s">
        <v>30</v>
      </c>
      <c r="R5" s="60" t="s">
        <v>31</v>
      </c>
      <c r="S5" s="60" t="s">
        <v>32</v>
      </c>
      <c r="T5" s="61" t="s">
        <v>22</v>
      </c>
      <c r="U5" s="61" t="s">
        <v>33</v>
      </c>
      <c r="V5" s="61" t="s">
        <v>20</v>
      </c>
    </row>
    <row r="6" ht="16.5" customHeight="1" spans="1:22">
      <c r="A6" s="62" t="s">
        <v>34</v>
      </c>
      <c r="B6" s="62">
        <v>1</v>
      </c>
      <c r="C6" s="63" t="s">
        <v>35</v>
      </c>
      <c r="D6" s="63">
        <v>55</v>
      </c>
      <c r="E6" s="63">
        <v>230</v>
      </c>
      <c r="F6" s="63">
        <f>(D6*E6)/1000</f>
        <v>12.65</v>
      </c>
      <c r="G6" s="62" t="str">
        <f>R6</f>
        <v>超薄轻音室内机Pro</v>
      </c>
      <c r="H6" s="62" t="s">
        <v>36</v>
      </c>
      <c r="I6" s="62" t="str">
        <f>VLOOKUP(H6,室内机清单!A:E,4,FALSE)</f>
        <v>大3匹</v>
      </c>
      <c r="J6" s="62">
        <v>1</v>
      </c>
      <c r="K6" s="62">
        <f>VLOOKUP(H6,室内机清单!A:E,3,FALSE)</f>
        <v>8</v>
      </c>
      <c r="L6" s="62">
        <f>K6*J6</f>
        <v>8</v>
      </c>
      <c r="M6" s="64">
        <f>(L6+L7)*1000/D6</f>
        <v>227.272727272727</v>
      </c>
      <c r="N6" s="62" t="str">
        <f>VLOOKUP(H6,室内机清单!A:E,5,FALSE)</f>
        <v>无</v>
      </c>
      <c r="O6" s="65" t="s">
        <v>37</v>
      </c>
      <c r="P6" s="66">
        <f>L10/T6</f>
        <v>0.905</v>
      </c>
      <c r="Q6" s="67" t="s">
        <v>38</v>
      </c>
      <c r="R6" s="68" t="s">
        <v>39</v>
      </c>
      <c r="S6" s="67" t="s">
        <v>40</v>
      </c>
      <c r="T6" s="1">
        <f>IF(S6="","",VLOOKUP(S6,室外机清单!$B$1:$E$219,2,FALSE))</f>
        <v>20</v>
      </c>
      <c r="U6" s="1">
        <f>IF(S6="","",VLOOKUP(S6,室外机清单!$B$1:$E$219,3,FALSE))</f>
        <v>22.9</v>
      </c>
      <c r="V6" s="1" t="str">
        <f>IF(S6="","",VLOOKUP(S6,室外机清单!$B$1:$E$219,4,FALSE))</f>
        <v>大7</v>
      </c>
    </row>
    <row r="7" customFormat="1" ht="16.5" customHeight="1" spans="1:22">
      <c r="A7" s="62"/>
      <c r="B7" s="62">
        <v>2</v>
      </c>
      <c r="C7" s="69"/>
      <c r="D7" s="69">
        <v>27</v>
      </c>
      <c r="E7" s="69">
        <v>200</v>
      </c>
      <c r="F7" s="69">
        <f>(D7*E7)/1000</f>
        <v>5.4</v>
      </c>
      <c r="G7" s="62" t="str">
        <f>R7</f>
        <v>超薄轻音室内机Pro</v>
      </c>
      <c r="H7" s="62" t="s">
        <v>41</v>
      </c>
      <c r="I7" s="62" t="str">
        <f>VLOOKUP(H7,室内机清单!A:E,4,FALSE)</f>
        <v>小2匹</v>
      </c>
      <c r="J7" s="62">
        <v>1</v>
      </c>
      <c r="K7" s="62">
        <f>VLOOKUP(H7,室内机清单!A:E,3,FALSE)</f>
        <v>4.5</v>
      </c>
      <c r="L7" s="62">
        <f>K7*J7</f>
        <v>4.5</v>
      </c>
      <c r="M7" s="70">
        <f>L7*1000/D7</f>
        <v>166.666666666667</v>
      </c>
      <c r="N7" s="62" t="str">
        <f>VLOOKUP(H7,室内机清单!A:E,5,FALSE)</f>
        <v>无</v>
      </c>
      <c r="O7" s="71"/>
      <c r="P7" s="72"/>
      <c r="Q7" s="46"/>
      <c r="R7" s="68" t="s">
        <v>39</v>
      </c>
      <c r="S7" s="46"/>
    </row>
    <row r="8" ht="16.5" customHeight="1" spans="1:22">
      <c r="A8" s="62"/>
      <c r="B8" s="62">
        <v>4</v>
      </c>
      <c r="C8" s="73" t="s">
        <v>42</v>
      </c>
      <c r="D8" s="62">
        <v>13</v>
      </c>
      <c r="E8" s="62">
        <v>200</v>
      </c>
      <c r="F8" s="74">
        <f>(D8*E8)/1000</f>
        <v>2.6</v>
      </c>
      <c r="G8" s="62" t="str">
        <f>R8</f>
        <v>超薄轻音室内机Pro</v>
      </c>
      <c r="H8" s="62" t="s">
        <v>43</v>
      </c>
      <c r="I8" s="62" t="str">
        <f>VLOOKUP(H8,室内机清单!A:E,4,FALSE)</f>
        <v>1匹</v>
      </c>
      <c r="J8" s="62">
        <v>1</v>
      </c>
      <c r="K8" s="62">
        <f>VLOOKUP(H8,室内机清单!A:E,3,FALSE)</f>
        <v>2.8</v>
      </c>
      <c r="L8" s="62">
        <f>K8*J8</f>
        <v>2.8</v>
      </c>
      <c r="M8" s="75">
        <f>L8*1000/D8</f>
        <v>215.384615384615</v>
      </c>
      <c r="N8" s="62" t="str">
        <f>VLOOKUP(H8,室内机清单!A:E,5,FALSE)</f>
        <v>无</v>
      </c>
      <c r="O8" s="71"/>
      <c r="P8" s="72"/>
      <c r="R8" s="68" t="s">
        <v>39</v>
      </c>
    </row>
    <row r="9" ht="16.5" customHeight="1" spans="1:22">
      <c r="A9" s="62"/>
      <c r="B9" s="62">
        <v>5</v>
      </c>
      <c r="C9" s="73" t="s">
        <v>44</v>
      </c>
      <c r="D9" s="62">
        <v>13</v>
      </c>
      <c r="E9" s="62">
        <v>200</v>
      </c>
      <c r="F9" s="74">
        <f>(D9*E9)/1000</f>
        <v>2.6</v>
      </c>
      <c r="G9" s="62" t="str">
        <f>R9</f>
        <v>超薄轻音室内机Pro</v>
      </c>
      <c r="H9" s="62" t="s">
        <v>43</v>
      </c>
      <c r="I9" s="62" t="str">
        <f>VLOOKUP(H9,室内机清单!A:E,4,FALSE)</f>
        <v>1匹</v>
      </c>
      <c r="J9" s="62">
        <v>1</v>
      </c>
      <c r="K9" s="62">
        <f>VLOOKUP(H9,室内机清单!A:E,3,FALSE)</f>
        <v>2.8</v>
      </c>
      <c r="L9" s="62">
        <f>K9*J9</f>
        <v>2.8</v>
      </c>
      <c r="M9" s="75">
        <f>L9*1000/D9</f>
        <v>215.384615384615</v>
      </c>
      <c r="N9" s="62" t="str">
        <f>VLOOKUP(H9,室内机清单!A:E,5,FALSE)</f>
        <v>无</v>
      </c>
      <c r="O9" s="71"/>
      <c r="P9" s="72"/>
      <c r="R9" s="68" t="s">
        <v>39</v>
      </c>
    </row>
    <row r="10" ht="16.5" customHeight="1" spans="1:22">
      <c r="A10" s="76" t="s">
        <v>45</v>
      </c>
      <c r="B10" s="76"/>
      <c r="C10" s="76"/>
      <c r="D10" s="76"/>
      <c r="E10" s="76"/>
      <c r="F10" s="76"/>
      <c r="G10" s="76"/>
      <c r="H10" s="76"/>
      <c r="I10" s="76"/>
      <c r="J10" s="76">
        <f>SUM(J6:J9)</f>
        <v>4</v>
      </c>
      <c r="K10" s="62" t="s">
        <v>46</v>
      </c>
      <c r="L10" s="76">
        <f>SUM(L6:L9)</f>
        <v>18.1</v>
      </c>
      <c r="M10" s="62" t="s">
        <v>46</v>
      </c>
      <c r="N10" s="62" t="s">
        <v>46</v>
      </c>
      <c r="O10" s="77"/>
      <c r="P10" s="78"/>
    </row>
    <row r="11" spans="1:22">
      <c r="A11" s="79" t="s">
        <v>47</v>
      </c>
      <c r="B11" s="79"/>
      <c r="C11" s="79"/>
      <c r="D11" s="79"/>
      <c r="E11" s="79"/>
      <c r="F11" s="79"/>
      <c r="G11" s="79"/>
      <c r="H11" s="79"/>
      <c r="I11" s="79"/>
      <c r="J11" s="79"/>
      <c r="K11" s="79"/>
      <c r="L11" s="79"/>
      <c r="M11" s="79"/>
      <c r="N11" s="79"/>
      <c r="O11" s="79"/>
      <c r="P11" s="79"/>
    </row>
    <row r="12" spans="1:22">
      <c r="A12" s="80" t="s">
        <v>48</v>
      </c>
      <c r="B12" s="80"/>
      <c r="C12" s="80"/>
      <c r="D12" s="80"/>
      <c r="E12" s="80"/>
      <c r="F12" s="80"/>
      <c r="G12" s="80"/>
      <c r="H12" s="80"/>
      <c r="I12" s="80"/>
      <c r="J12" s="80"/>
      <c r="K12" s="80"/>
      <c r="L12" s="80"/>
      <c r="M12" s="80"/>
      <c r="N12" s="80"/>
      <c r="O12" s="80"/>
      <c r="P12" s="80"/>
    </row>
    <row r="13" spans="1:22">
      <c r="A13" s="80"/>
      <c r="B13" s="80"/>
      <c r="C13" s="80"/>
      <c r="D13" s="80"/>
      <c r="E13" s="80"/>
      <c r="F13" s="80"/>
      <c r="G13" s="80"/>
      <c r="H13" s="80"/>
      <c r="I13" s="80"/>
      <c r="J13" s="80"/>
      <c r="K13" s="80"/>
      <c r="L13" s="80"/>
      <c r="M13" s="80"/>
      <c r="N13" s="80"/>
      <c r="O13" s="80"/>
      <c r="P13" s="80"/>
    </row>
    <row r="14" spans="1:22">
      <c r="A14" s="80"/>
      <c r="B14" s="80"/>
      <c r="C14" s="80"/>
      <c r="D14" s="80"/>
      <c r="E14" s="80"/>
      <c r="F14" s="80"/>
      <c r="G14" s="80"/>
      <c r="H14" s="80"/>
      <c r="I14" s="80"/>
      <c r="J14" s="80"/>
      <c r="K14" s="80"/>
      <c r="L14" s="80"/>
      <c r="M14" s="80"/>
      <c r="N14" s="80"/>
      <c r="O14" s="80"/>
      <c r="P14" s="80"/>
    </row>
    <row r="15" spans="1:22">
      <c r="A15" s="80"/>
      <c r="B15" s="80"/>
      <c r="C15" s="80"/>
      <c r="D15" s="80"/>
      <c r="E15" s="80"/>
      <c r="F15" s="80"/>
      <c r="G15" s="80"/>
      <c r="H15" s="80"/>
      <c r="I15" s="80"/>
      <c r="J15" s="80"/>
      <c r="K15" s="80"/>
      <c r="L15" s="80"/>
      <c r="M15" s="80"/>
      <c r="N15" s="80"/>
      <c r="O15" s="80"/>
      <c r="P15" s="80"/>
    </row>
    <row r="16" s="45" customFormat="1" ht="35" customHeight="1" spans="1:22">
      <c r="A16" s="81" t="s">
        <v>49</v>
      </c>
      <c r="B16" s="81"/>
      <c r="C16" s="81"/>
      <c r="D16" s="81"/>
      <c r="E16" s="81"/>
      <c r="F16" s="81"/>
      <c r="G16" s="81"/>
      <c r="H16" s="81"/>
      <c r="I16" s="81"/>
      <c r="J16" s="81"/>
      <c r="K16" s="81"/>
      <c r="L16" s="81"/>
      <c r="M16" s="81"/>
      <c r="N16" s="81"/>
      <c r="O16" s="81"/>
      <c r="P16" s="82"/>
    </row>
    <row r="17" s="45" customFormat="1" ht="25" customHeight="1" spans="1:16">
      <c r="A17" s="83" t="s">
        <v>50</v>
      </c>
      <c r="B17" s="83" t="s">
        <v>51</v>
      </c>
      <c r="C17" s="83"/>
      <c r="D17" s="83"/>
      <c r="E17" s="83"/>
      <c r="F17" s="83" t="s">
        <v>52</v>
      </c>
      <c r="G17" s="83"/>
      <c r="H17" s="84" t="s">
        <v>53</v>
      </c>
      <c r="I17" s="85" t="s">
        <v>21</v>
      </c>
      <c r="J17" s="86" t="s">
        <v>54</v>
      </c>
      <c r="K17" s="87"/>
      <c r="L17" s="88" t="s">
        <v>55</v>
      </c>
      <c r="M17" s="89"/>
      <c r="N17" s="90" t="s">
        <v>9</v>
      </c>
      <c r="O17" s="90"/>
      <c r="P17" s="90"/>
    </row>
    <row r="18" s="45" customFormat="1" ht="34" customHeight="1" spans="1:16">
      <c r="A18" s="91">
        <f>COUNTA($B$18)</f>
        <v>1</v>
      </c>
      <c r="B18" s="92" t="s">
        <v>56</v>
      </c>
      <c r="C18" s="92"/>
      <c r="D18" s="92"/>
      <c r="E18" s="92"/>
      <c r="F18" s="91" t="s">
        <v>57</v>
      </c>
      <c r="G18" s="91"/>
      <c r="H18" s="92" t="s">
        <v>58</v>
      </c>
      <c r="I18" s="93">
        <v>1</v>
      </c>
      <c r="J18" s="94">
        <v>13674</v>
      </c>
      <c r="K18" s="95"/>
      <c r="L18" s="96">
        <f>I18*J18</f>
        <v>13674</v>
      </c>
      <c r="M18" s="96"/>
      <c r="N18" s="92" t="s">
        <v>59</v>
      </c>
      <c r="O18" s="92"/>
      <c r="P18" s="92"/>
    </row>
    <row r="19" s="45" customFormat="1" ht="35" customHeight="1" spans="1:16">
      <c r="A19" s="91">
        <f>COUNTA($B$18:B19)</f>
        <v>2</v>
      </c>
      <c r="B19" s="92" t="s">
        <v>39</v>
      </c>
      <c r="C19" s="92"/>
      <c r="D19" s="92"/>
      <c r="E19" s="92"/>
      <c r="F19" s="91" t="s">
        <v>43</v>
      </c>
      <c r="G19" s="91"/>
      <c r="H19" s="92" t="s">
        <v>58</v>
      </c>
      <c r="I19" s="92">
        <v>2</v>
      </c>
      <c r="J19" s="97">
        <v>1754.73</v>
      </c>
      <c r="K19" s="97"/>
      <c r="L19" s="96">
        <f>I19*J19</f>
        <v>3509.46</v>
      </c>
      <c r="M19" s="96"/>
      <c r="N19" s="92" t="s">
        <v>60</v>
      </c>
      <c r="O19" s="92"/>
      <c r="P19" s="92"/>
    </row>
    <row r="20" s="45" customFormat="1" ht="35" customHeight="1" spans="1:16">
      <c r="A20" s="91">
        <f>COUNTA($B$18:B20)</f>
        <v>3</v>
      </c>
      <c r="B20" s="92" t="s">
        <v>39</v>
      </c>
      <c r="C20" s="92"/>
      <c r="D20" s="92"/>
      <c r="E20" s="92"/>
      <c r="F20" s="91" t="s">
        <v>61</v>
      </c>
      <c r="G20" s="91"/>
      <c r="H20" s="92" t="s">
        <v>58</v>
      </c>
      <c r="I20" s="92">
        <v>1</v>
      </c>
      <c r="J20" s="97">
        <v>2024.23</v>
      </c>
      <c r="K20" s="97"/>
      <c r="L20" s="96">
        <f>I20*J20</f>
        <v>2024.23</v>
      </c>
      <c r="M20" s="96"/>
      <c r="N20" s="92" t="s">
        <v>60</v>
      </c>
      <c r="O20" s="92"/>
      <c r="P20" s="92"/>
    </row>
    <row r="21" s="45" customFormat="1" ht="35" customHeight="1" spans="1:16">
      <c r="A21" s="91">
        <f>COUNTA($B$18:B21)</f>
        <v>4</v>
      </c>
      <c r="B21" s="92" t="s">
        <v>39</v>
      </c>
      <c r="C21" s="92"/>
      <c r="D21" s="92"/>
      <c r="E21" s="92"/>
      <c r="F21" s="91" t="s">
        <v>36</v>
      </c>
      <c r="G21" s="91"/>
      <c r="H21" s="92" t="s">
        <v>58</v>
      </c>
      <c r="I21" s="92">
        <v>1</v>
      </c>
      <c r="J21" s="97">
        <v>2601.73</v>
      </c>
      <c r="K21" s="97"/>
      <c r="L21" s="96">
        <f>I21*J21</f>
        <v>2601.73</v>
      </c>
      <c r="M21" s="96"/>
      <c r="N21" s="92" t="s">
        <v>60</v>
      </c>
      <c r="O21" s="92"/>
      <c r="P21" s="92"/>
    </row>
    <row r="22" s="45" customFormat="1" ht="25" customHeight="1" spans="1:16">
      <c r="A22" s="91">
        <f>COUNTA($B$18:B22)</f>
        <v>5</v>
      </c>
      <c r="B22" s="93" t="s">
        <v>62</v>
      </c>
      <c r="C22" s="98"/>
      <c r="D22" s="98"/>
      <c r="E22" s="98"/>
      <c r="F22" s="98"/>
      <c r="G22" s="98"/>
      <c r="H22" s="98"/>
      <c r="I22" s="98"/>
      <c r="J22" s="98"/>
      <c r="K22" s="99"/>
      <c r="L22" s="100">
        <f>SUM(L18:M21)</f>
        <v>21809.42</v>
      </c>
      <c r="M22" s="100"/>
      <c r="N22" s="81"/>
      <c r="O22" s="81"/>
      <c r="P22" s="82"/>
    </row>
    <row r="23" s="45" customFormat="1" ht="38" customHeight="1" spans="1:16">
      <c r="A23" s="81" t="s">
        <v>63</v>
      </c>
      <c r="B23" s="81"/>
      <c r="C23" s="81"/>
      <c r="D23" s="81"/>
      <c r="E23" s="81"/>
      <c r="F23" s="81"/>
      <c r="G23" s="81"/>
      <c r="H23" s="81"/>
      <c r="I23" s="81"/>
      <c r="J23" s="81"/>
      <c r="K23" s="81"/>
      <c r="L23" s="81"/>
      <c r="M23" s="81"/>
      <c r="N23" s="81"/>
      <c r="O23" s="81"/>
      <c r="P23" s="82"/>
    </row>
    <row r="24" s="45" customFormat="1" ht="38" customHeight="1" spans="1:16">
      <c r="A24" s="91" t="s">
        <v>50</v>
      </c>
      <c r="B24" s="91" t="s">
        <v>64</v>
      </c>
      <c r="C24" s="91"/>
      <c r="D24" s="91"/>
      <c r="E24" s="91" t="s">
        <v>65</v>
      </c>
      <c r="F24" s="91"/>
      <c r="G24" s="91"/>
      <c r="H24" s="101" t="s">
        <v>53</v>
      </c>
      <c r="I24" s="101" t="s">
        <v>21</v>
      </c>
      <c r="J24" s="102" t="s">
        <v>54</v>
      </c>
      <c r="K24" s="102"/>
      <c r="L24" s="103" t="s">
        <v>55</v>
      </c>
      <c r="M24" s="103"/>
      <c r="N24" s="103" t="s">
        <v>9</v>
      </c>
      <c r="O24" s="103"/>
      <c r="P24" s="104"/>
    </row>
    <row r="25" s="45" customFormat="1" ht="25" customHeight="1" spans="1:16">
      <c r="A25" s="105">
        <v>1</v>
      </c>
      <c r="B25" s="106" t="s">
        <v>66</v>
      </c>
      <c r="C25" s="107"/>
      <c r="D25" s="108"/>
      <c r="E25" s="83" t="s">
        <v>67</v>
      </c>
      <c r="F25" s="83"/>
      <c r="G25" s="83"/>
      <c r="H25" s="109" t="s">
        <v>58</v>
      </c>
      <c r="I25" s="109">
        <f>SUM(I19:I21)</f>
        <v>4</v>
      </c>
      <c r="J25" s="110">
        <v>1500</v>
      </c>
      <c r="K25" s="111"/>
      <c r="L25" s="110">
        <f>I25*J25</f>
        <v>6000</v>
      </c>
      <c r="M25" s="111"/>
      <c r="N25" s="91"/>
      <c r="O25" s="91"/>
      <c r="P25" s="112"/>
    </row>
    <row r="26" s="45" customFormat="1" ht="33" customHeight="1" spans="1:16">
      <c r="A26" s="105">
        <v>2</v>
      </c>
      <c r="B26" s="106"/>
      <c r="C26" s="113"/>
      <c r="D26" s="108"/>
      <c r="E26" s="91" t="s">
        <v>68</v>
      </c>
      <c r="F26" s="91"/>
      <c r="G26" s="91"/>
      <c r="H26" s="114"/>
      <c r="I26" s="114"/>
      <c r="J26" s="110"/>
      <c r="K26" s="111"/>
      <c r="L26" s="110"/>
      <c r="M26" s="111"/>
      <c r="N26" s="115" t="s">
        <v>69</v>
      </c>
      <c r="O26" s="116"/>
      <c r="P26" s="117"/>
    </row>
    <row r="27" s="45" customFormat="1" ht="25" customHeight="1" spans="1:16">
      <c r="A27" s="105">
        <v>3</v>
      </c>
      <c r="B27" s="106"/>
      <c r="C27" s="113"/>
      <c r="D27" s="108"/>
      <c r="E27" s="91" t="s">
        <v>70</v>
      </c>
      <c r="F27" s="91"/>
      <c r="G27" s="91"/>
      <c r="H27" s="114"/>
      <c r="I27" s="114"/>
      <c r="J27" s="110"/>
      <c r="K27" s="111"/>
      <c r="L27" s="110"/>
      <c r="M27" s="111"/>
      <c r="N27" s="118"/>
      <c r="O27" s="119"/>
      <c r="P27" s="120"/>
    </row>
    <row r="28" s="45" customFormat="1" ht="21" customHeight="1" spans="1:16">
      <c r="A28" s="105">
        <v>4</v>
      </c>
      <c r="B28" s="106"/>
      <c r="C28" s="113"/>
      <c r="D28" s="108"/>
      <c r="E28" s="91" t="s">
        <v>71</v>
      </c>
      <c r="F28" s="91"/>
      <c r="G28" s="91"/>
      <c r="H28" s="114"/>
      <c r="I28" s="114"/>
      <c r="J28" s="110"/>
      <c r="K28" s="111"/>
      <c r="L28" s="110"/>
      <c r="M28" s="111"/>
      <c r="N28" s="115" t="s">
        <v>72</v>
      </c>
      <c r="O28" s="116"/>
      <c r="P28" s="117"/>
    </row>
    <row r="29" s="45" customFormat="1" ht="28" customHeight="1" spans="1:16">
      <c r="A29" s="105">
        <v>5</v>
      </c>
      <c r="B29" s="106"/>
      <c r="C29" s="113"/>
      <c r="D29" s="108"/>
      <c r="E29" s="91" t="s">
        <v>73</v>
      </c>
      <c r="F29" s="91"/>
      <c r="G29" s="91"/>
      <c r="H29" s="114"/>
      <c r="I29" s="114"/>
      <c r="J29" s="110"/>
      <c r="K29" s="111"/>
      <c r="L29" s="110"/>
      <c r="M29" s="111"/>
      <c r="N29" s="103" t="s">
        <v>74</v>
      </c>
      <c r="O29" s="103"/>
      <c r="P29" s="104"/>
    </row>
    <row r="30" s="45" customFormat="1" ht="25" customHeight="1" spans="1:16">
      <c r="A30" s="105">
        <v>6</v>
      </c>
      <c r="B30" s="106"/>
      <c r="C30" s="113"/>
      <c r="D30" s="108"/>
      <c r="E30" s="91" t="s">
        <v>75</v>
      </c>
      <c r="F30" s="91"/>
      <c r="G30" s="91"/>
      <c r="H30" s="114"/>
      <c r="I30" s="114"/>
      <c r="J30" s="110"/>
      <c r="K30" s="111"/>
      <c r="L30" s="110"/>
      <c r="M30" s="111"/>
      <c r="N30" s="103"/>
      <c r="O30" s="103"/>
      <c r="P30" s="104"/>
    </row>
    <row r="31" s="45" customFormat="1" ht="25" customHeight="1" spans="1:16">
      <c r="A31" s="105">
        <v>7</v>
      </c>
      <c r="B31" s="106"/>
      <c r="C31" s="107"/>
      <c r="D31" s="108"/>
      <c r="E31" s="121" t="s">
        <v>76</v>
      </c>
      <c r="F31" s="121"/>
      <c r="G31" s="121"/>
      <c r="H31" s="122"/>
      <c r="I31" s="122"/>
      <c r="J31" s="110"/>
      <c r="K31" s="111"/>
      <c r="L31" s="123"/>
      <c r="M31" s="124"/>
      <c r="N31" s="103" t="s">
        <v>74</v>
      </c>
      <c r="O31" s="103"/>
      <c r="P31" s="104"/>
    </row>
    <row r="32" s="45" customFormat="1" ht="25" customHeight="1" spans="1:16">
      <c r="A32" s="105">
        <v>8</v>
      </c>
      <c r="B32" s="92" t="s">
        <v>77</v>
      </c>
      <c r="C32" s="92"/>
      <c r="D32" s="92"/>
      <c r="E32" s="92"/>
      <c r="F32" s="92"/>
      <c r="G32" s="92"/>
      <c r="H32" s="92"/>
      <c r="I32" s="92"/>
      <c r="J32" s="92"/>
      <c r="K32" s="92"/>
      <c r="L32" s="125">
        <f>SUM(L25)</f>
        <v>6000</v>
      </c>
      <c r="M32" s="126"/>
      <c r="N32" s="127"/>
      <c r="O32" s="127"/>
      <c r="P32" s="128"/>
    </row>
    <row r="33" s="45" customFormat="1" ht="25" customHeight="1" spans="1:16">
      <c r="A33" s="105">
        <v>9</v>
      </c>
      <c r="B33" s="92" t="s">
        <v>78</v>
      </c>
      <c r="C33" s="92"/>
      <c r="D33" s="92"/>
      <c r="E33" s="92"/>
      <c r="F33" s="92"/>
      <c r="G33" s="92"/>
      <c r="H33" s="92"/>
      <c r="I33" s="92"/>
      <c r="J33" s="92"/>
      <c r="K33" s="92"/>
      <c r="L33" s="129">
        <f>L22+L32</f>
        <v>27809.42</v>
      </c>
      <c r="M33" s="130"/>
      <c r="N33" s="127"/>
      <c r="O33" s="127"/>
      <c r="P33" s="128"/>
    </row>
    <row r="34" s="45" customFormat="1" ht="25" customHeight="1" spans="1:16">
      <c r="A34" s="92" t="s">
        <v>9</v>
      </c>
      <c r="B34" s="131" t="s">
        <v>79</v>
      </c>
      <c r="C34" s="131"/>
      <c r="D34" s="131"/>
      <c r="E34" s="131"/>
      <c r="F34" s="131"/>
      <c r="G34" s="131"/>
      <c r="H34" s="131"/>
      <c r="I34" s="131"/>
      <c r="J34" s="131"/>
      <c r="K34" s="131"/>
      <c r="L34" s="131"/>
      <c r="M34" s="131"/>
      <c r="N34" s="131"/>
      <c r="O34" s="131"/>
      <c r="P34" s="132"/>
    </row>
    <row r="35" s="45" customFormat="1" ht="25" customHeight="1" spans="1:16">
      <c r="A35" s="92"/>
      <c r="B35" s="131" t="s">
        <v>80</v>
      </c>
      <c r="C35" s="131"/>
      <c r="D35" s="131"/>
      <c r="E35" s="131"/>
      <c r="F35" s="131"/>
      <c r="G35" s="131"/>
      <c r="H35" s="131"/>
      <c r="I35" s="131"/>
      <c r="J35" s="131"/>
      <c r="K35" s="131"/>
      <c r="L35" s="131"/>
      <c r="M35" s="131"/>
      <c r="N35" s="131"/>
      <c r="O35" s="131"/>
      <c r="P35" s="132"/>
    </row>
    <row r="36" s="45" customFormat="1" ht="25" customHeight="1" spans="1:16">
      <c r="A36" s="92"/>
      <c r="B36" s="131" t="s">
        <v>81</v>
      </c>
      <c r="C36" s="131"/>
      <c r="D36" s="131"/>
      <c r="E36" s="131"/>
      <c r="F36" s="131"/>
      <c r="G36" s="131"/>
      <c r="H36" s="131"/>
      <c r="I36" s="131"/>
      <c r="J36" s="131"/>
      <c r="K36" s="131"/>
      <c r="L36" s="131"/>
      <c r="M36" s="131"/>
      <c r="N36" s="131"/>
      <c r="O36" s="131"/>
      <c r="P36" s="132"/>
    </row>
    <row r="37" s="45" customFormat="1" ht="25" customHeight="1" spans="1:16">
      <c r="A37" s="92"/>
      <c r="B37" s="131" t="s">
        <v>82</v>
      </c>
      <c r="C37" s="131"/>
      <c r="D37" s="131"/>
      <c r="E37" s="131"/>
      <c r="F37" s="131"/>
      <c r="G37" s="131"/>
      <c r="H37" s="131"/>
      <c r="I37" s="131"/>
      <c r="J37" s="131"/>
      <c r="K37" s="131"/>
      <c r="L37" s="131"/>
      <c r="M37" s="131"/>
      <c r="N37" s="131"/>
      <c r="O37" s="131"/>
      <c r="P37" s="132"/>
    </row>
    <row r="38" s="45" customFormat="1" ht="25" customHeight="1" spans="1:16">
      <c r="A38" s="92"/>
      <c r="B38" s="131" t="s">
        <v>83</v>
      </c>
      <c r="C38" s="131"/>
      <c r="D38" s="131"/>
      <c r="E38" s="131"/>
      <c r="F38" s="131"/>
      <c r="G38" s="131"/>
      <c r="H38" s="131"/>
      <c r="I38" s="131"/>
      <c r="J38" s="131"/>
      <c r="K38" s="131"/>
      <c r="L38" s="131"/>
      <c r="M38" s="131"/>
      <c r="N38" s="131"/>
      <c r="O38" s="131"/>
      <c r="P38" s="132"/>
    </row>
    <row r="39" s="45" customFormat="1" ht="25" customHeight="1" spans="1:16">
      <c r="A39" s="92"/>
      <c r="B39" s="131" t="s">
        <v>84</v>
      </c>
      <c r="C39" s="131"/>
      <c r="D39" s="131"/>
      <c r="E39" s="131"/>
      <c r="F39" s="131"/>
      <c r="G39" s="131"/>
      <c r="H39" s="131"/>
      <c r="I39" s="131"/>
      <c r="J39" s="131"/>
      <c r="K39" s="131"/>
      <c r="L39" s="131"/>
      <c r="M39" s="131"/>
      <c r="N39" s="131"/>
      <c r="O39" s="131"/>
      <c r="P39" s="132"/>
    </row>
    <row r="41" ht="22" customHeight="1" spans="1:16">
      <c r="A41" s="133"/>
      <c r="B41" s="133"/>
      <c r="C41" s="133"/>
      <c r="D41" s="133" t="s">
        <v>21</v>
      </c>
      <c r="E41" s="134" t="s">
        <v>52</v>
      </c>
      <c r="F41" s="134"/>
      <c r="G41" s="134"/>
      <c r="H41" s="133" t="s">
        <v>85</v>
      </c>
      <c r="I41" s="135"/>
      <c r="J41" s="136"/>
      <c r="K41" s="136"/>
      <c r="L41" s="136"/>
      <c r="M41" s="136"/>
      <c r="N41" s="136"/>
      <c r="O41" s="136"/>
      <c r="P41" s="137"/>
    </row>
    <row r="42" ht="22" customHeight="1" spans="1:16">
      <c r="A42" s="133">
        <v>1</v>
      </c>
      <c r="B42" s="133"/>
      <c r="C42" s="133" t="s">
        <v>86</v>
      </c>
      <c r="D42" s="133">
        <v>1</v>
      </c>
      <c r="E42" s="134" t="s">
        <v>87</v>
      </c>
      <c r="F42" s="134"/>
      <c r="G42" s="134"/>
      <c r="H42" s="138">
        <v>6300</v>
      </c>
      <c r="I42" s="135" t="s">
        <v>88</v>
      </c>
      <c r="J42" s="136"/>
      <c r="K42" s="136"/>
      <c r="L42" s="136"/>
      <c r="M42" s="136"/>
      <c r="N42" s="136"/>
      <c r="O42" s="136"/>
      <c r="P42" s="137"/>
    </row>
    <row r="45" spans="1:16">
      <c r="M45" s="139" t="s">
        <v>89</v>
      </c>
    </row>
  </sheetData>
  <mergeCells count="100">
    <mergeCell ref="A1:P1"/>
    <mergeCell ref="A2:B2"/>
    <mergeCell ref="C2:G2"/>
    <mergeCell ref="I2:K2"/>
    <mergeCell ref="O2:P2"/>
    <mergeCell ref="A3:D3"/>
    <mergeCell ref="E3:F3"/>
    <mergeCell ref="G3:L3"/>
    <mergeCell ref="A10:I10"/>
    <mergeCell ref="A11:P11"/>
    <mergeCell ref="A16:P16"/>
    <mergeCell ref="B17:E17"/>
    <mergeCell ref="F17:G17"/>
    <mergeCell ref="J17:K17"/>
    <mergeCell ref="L17:M17"/>
    <mergeCell ref="N17:P17"/>
    <mergeCell ref="B18:E18"/>
    <mergeCell ref="F18:G18"/>
    <mergeCell ref="J18:K18"/>
    <mergeCell ref="L18:M18"/>
    <mergeCell ref="N18:P18"/>
    <mergeCell ref="B19:E19"/>
    <mergeCell ref="F19:G19"/>
    <mergeCell ref="J19:K19"/>
    <mergeCell ref="L19:M19"/>
    <mergeCell ref="N19:P19"/>
    <mergeCell ref="B20:E20"/>
    <mergeCell ref="F20:G20"/>
    <mergeCell ref="J20:K20"/>
    <mergeCell ref="L20:M20"/>
    <mergeCell ref="N20:P20"/>
    <mergeCell ref="B21:E21"/>
    <mergeCell ref="F21:G21"/>
    <mergeCell ref="J21:K21"/>
    <mergeCell ref="L21:M21"/>
    <mergeCell ref="N21:P21"/>
    <mergeCell ref="B22:K22"/>
    <mergeCell ref="L22:M22"/>
    <mergeCell ref="N22:P22"/>
    <mergeCell ref="A23:P23"/>
    <mergeCell ref="B24:D24"/>
    <mergeCell ref="E24:G24"/>
    <mergeCell ref="J24:K24"/>
    <mergeCell ref="L24:M24"/>
    <mergeCell ref="N24:P24"/>
    <mergeCell ref="E25:G25"/>
    <mergeCell ref="N25:P25"/>
    <mergeCell ref="E26:G26"/>
    <mergeCell ref="E27:G27"/>
    <mergeCell ref="E28:G28"/>
    <mergeCell ref="N28:P28"/>
    <mergeCell ref="E29:G29"/>
    <mergeCell ref="N29:P29"/>
    <mergeCell ref="E30:G30"/>
    <mergeCell ref="N30:P30"/>
    <mergeCell ref="E31:G31"/>
    <mergeCell ref="N31:P31"/>
    <mergeCell ref="B32:K32"/>
    <mergeCell ref="L32:M32"/>
    <mergeCell ref="N32:P32"/>
    <mergeCell ref="B33:K33"/>
    <mergeCell ref="L33:M33"/>
    <mergeCell ref="N33:P33"/>
    <mergeCell ref="B34:P34"/>
    <mergeCell ref="B35:P35"/>
    <mergeCell ref="B36:P36"/>
    <mergeCell ref="B37:P37"/>
    <mergeCell ref="B38:P38"/>
    <mergeCell ref="B39:P39"/>
    <mergeCell ref="E41:G41"/>
    <mergeCell ref="I41:P41"/>
    <mergeCell ref="E42:G42"/>
    <mergeCell ref="I42:P42"/>
    <mergeCell ref="A4:A5"/>
    <mergeCell ref="A6:A9"/>
    <mergeCell ref="A34:A39"/>
    <mergeCell ref="B4:B5"/>
    <mergeCell ref="C4:C5"/>
    <mergeCell ref="C6:C7"/>
    <mergeCell ref="D6:D7"/>
    <mergeCell ref="E6:E7"/>
    <mergeCell ref="F6:F7"/>
    <mergeCell ref="G4:G5"/>
    <mergeCell ref="H4:H5"/>
    <mergeCell ref="H25:H31"/>
    <mergeCell ref="I4:I5"/>
    <mergeCell ref="I25:I31"/>
    <mergeCell ref="J4:J5"/>
    <mergeCell ref="M3:M4"/>
    <mergeCell ref="M6:M7"/>
    <mergeCell ref="N4:N5"/>
    <mergeCell ref="O3:O5"/>
    <mergeCell ref="O6:O10"/>
    <mergeCell ref="P3:P5"/>
    <mergeCell ref="P6:P10"/>
    <mergeCell ref="A12:P15"/>
    <mergeCell ref="N26:P27"/>
    <mergeCell ref="B25:D31"/>
    <mergeCell ref="J25:K31"/>
    <mergeCell ref="L25:M31"/>
  </mergeCells>
  <dataValidations count="6">
    <dataValidation type="list" allowBlank="1" showInputMessage="1" showErrorMessage="1" sqref="I2:K2">
      <formula1>名称管理器!$B$64:$B$67</formula1>
    </dataValidation>
    <dataValidation allowBlank="1" showInputMessage="1" showErrorMessage="1" sqref="Q5:S5"/>
    <dataValidation type="list" allowBlank="1" showInputMessage="1" showErrorMessage="1" sqref="Q6">
      <formula1>名称管理器!$B$1:$R$1</formula1>
    </dataValidation>
    <dataValidation type="list" allowBlank="1" showInputMessage="1" showErrorMessage="1" sqref="S6">
      <formula1>INDIRECT(Q6&amp;"系列室外机")</formula1>
    </dataValidation>
    <dataValidation type="list" allowBlank="1" showInputMessage="1" showErrorMessage="1" sqref="H6:H7 H8:H9">
      <formula1>INDIRECT(R6)</formula1>
    </dataValidation>
    <dataValidation type="list" allowBlank="1" showInputMessage="1" showErrorMessage="1" sqref="R6:R7 R8:R9">
      <formula1>INDIRECT($Q$6)</formula1>
    </dataValidation>
  </dataValidations>
  <pageMargins left="0.7" right="0.7" top="0.75" bottom="0.75" header="0.3" footer="0.3"/>
  <pageSetup paperSize="9" scale="52" fitToHeight="0" orientation="portrait" horizontalDpi="1200" verticalDpi="12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8"/>
  <sheetViews>
    <sheetView zoomScale="115" zoomScaleNormal="115" workbookViewId="0">
      <selection activeCell="A27" sqref="A27:J27"/>
    </sheetView>
  </sheetViews>
  <sheetFormatPr defaultColWidth="9" defaultRowHeight="13.8"/>
  <cols>
    <col min="1" max="1" width="20.5" customWidth="1"/>
    <col min="2" max="2" width="20.75" style="1" customWidth="1"/>
    <col min="3" max="3" width="21.3796296296296" style="1" customWidth="1"/>
    <col min="4" max="4" width="20.5" customWidth="1"/>
    <col min="6" max="6" width="19.25" customWidth="1"/>
    <col min="7" max="7" width="22.6296296296296" customWidth="1"/>
    <col min="8" max="8" width="16.8796296296296" customWidth="1"/>
    <col min="9" max="9" width="18.75" customWidth="1"/>
  </cols>
  <sheetData>
    <row r="1" spans="1:9">
      <c r="A1" s="2" t="s">
        <v>64</v>
      </c>
      <c r="B1" s="2" t="s">
        <v>52</v>
      </c>
      <c r="C1" s="2" t="s">
        <v>90</v>
      </c>
      <c r="F1" s="43" t="s">
        <v>91</v>
      </c>
      <c r="G1" s="1"/>
      <c r="H1" s="1"/>
      <c r="I1" s="1"/>
    </row>
    <row r="2" spans="1:9">
      <c r="A2" s="2" t="s">
        <v>92</v>
      </c>
      <c r="B2" s="2" t="s">
        <v>93</v>
      </c>
      <c r="C2" s="1">
        <v>250</v>
      </c>
      <c r="G2" s="2" t="s">
        <v>94</v>
      </c>
      <c r="H2" s="2" t="s">
        <v>95</v>
      </c>
      <c r="I2" s="2" t="s">
        <v>95</v>
      </c>
    </row>
    <row r="3" spans="1:9">
      <c r="A3" s="2" t="s">
        <v>92</v>
      </c>
      <c r="B3" s="2" t="s">
        <v>96</v>
      </c>
      <c r="C3" s="1">
        <v>350</v>
      </c>
      <c r="F3" s="2" t="s">
        <v>97</v>
      </c>
      <c r="G3" s="2" t="s">
        <v>98</v>
      </c>
      <c r="H3" s="1" t="s">
        <v>99</v>
      </c>
      <c r="I3" s="1"/>
    </row>
    <row r="4" spans="1:9">
      <c r="A4" s="2" t="s">
        <v>92</v>
      </c>
      <c r="B4" s="2" t="s">
        <v>100</v>
      </c>
      <c r="C4" s="1">
        <v>250</v>
      </c>
      <c r="F4" s="2" t="s">
        <v>97</v>
      </c>
      <c r="G4" s="2" t="s">
        <v>101</v>
      </c>
      <c r="H4" s="1" t="s">
        <v>99</v>
      </c>
      <c r="I4" s="1"/>
    </row>
    <row r="5" spans="1:9">
      <c r="A5" s="2" t="s">
        <v>92</v>
      </c>
      <c r="B5" s="2" t="s">
        <v>102</v>
      </c>
      <c r="C5" s="1">
        <v>350</v>
      </c>
      <c r="F5" s="2" t="s">
        <v>103</v>
      </c>
      <c r="G5" s="2" t="s">
        <v>104</v>
      </c>
      <c r="H5" s="1" t="s">
        <v>105</v>
      </c>
      <c r="I5" s="1" t="s">
        <v>106</v>
      </c>
    </row>
    <row r="6" spans="1:9">
      <c r="A6" s="2" t="s">
        <v>107</v>
      </c>
      <c r="B6" s="2" t="s">
        <v>108</v>
      </c>
      <c r="C6" s="1">
        <v>200</v>
      </c>
      <c r="F6" s="2" t="s">
        <v>103</v>
      </c>
      <c r="G6" s="1" t="s">
        <v>109</v>
      </c>
      <c r="H6" s="1" t="s">
        <v>105</v>
      </c>
      <c r="I6" s="1" t="s">
        <v>106</v>
      </c>
    </row>
    <row r="7" spans="1:9">
      <c r="A7" s="2" t="s">
        <v>107</v>
      </c>
      <c r="B7" s="2" t="s">
        <v>110</v>
      </c>
      <c r="C7" s="1">
        <v>200</v>
      </c>
      <c r="F7" s="2" t="s">
        <v>103</v>
      </c>
      <c r="G7" s="1" t="s">
        <v>111</v>
      </c>
      <c r="H7" s="1" t="s">
        <v>105</v>
      </c>
      <c r="I7" s="1" t="s">
        <v>106</v>
      </c>
    </row>
    <row r="8" spans="1:9">
      <c r="A8" s="2" t="s">
        <v>107</v>
      </c>
      <c r="B8" s="2" t="s">
        <v>112</v>
      </c>
      <c r="C8" s="1">
        <v>160</v>
      </c>
      <c r="F8" s="2" t="s">
        <v>103</v>
      </c>
      <c r="G8" s="1" t="s">
        <v>113</v>
      </c>
      <c r="H8" s="1" t="s">
        <v>105</v>
      </c>
      <c r="I8" s="1" t="s">
        <v>106</v>
      </c>
    </row>
    <row r="9" spans="1:9">
      <c r="A9" s="2" t="s">
        <v>114</v>
      </c>
      <c r="B9" s="2" t="s">
        <v>115</v>
      </c>
      <c r="C9" s="1">
        <v>250</v>
      </c>
      <c r="F9" s="2" t="s">
        <v>103</v>
      </c>
      <c r="G9" s="2" t="s">
        <v>40</v>
      </c>
      <c r="H9" s="1" t="s">
        <v>105</v>
      </c>
      <c r="I9" s="1" t="s">
        <v>106</v>
      </c>
    </row>
    <row r="10" spans="1:9">
      <c r="A10" s="2" t="s">
        <v>114</v>
      </c>
      <c r="B10" s="2" t="s">
        <v>116</v>
      </c>
      <c r="C10" s="1">
        <v>350</v>
      </c>
      <c r="F10" s="2" t="s">
        <v>103</v>
      </c>
      <c r="G10" s="1" t="s">
        <v>117</v>
      </c>
      <c r="H10" s="1" t="s">
        <v>105</v>
      </c>
      <c r="I10" s="1" t="s">
        <v>106</v>
      </c>
    </row>
    <row r="11" spans="1:9">
      <c r="F11" s="2" t="s">
        <v>103</v>
      </c>
      <c r="G11" s="1" t="s">
        <v>118</v>
      </c>
      <c r="H11" s="1" t="s">
        <v>105</v>
      </c>
      <c r="I11" s="1" t="s">
        <v>106</v>
      </c>
    </row>
    <row r="12" spans="1:9">
      <c r="F12" s="2" t="s">
        <v>103</v>
      </c>
      <c r="G12" s="2" t="s">
        <v>119</v>
      </c>
      <c r="H12" s="1" t="s">
        <v>105</v>
      </c>
      <c r="I12" s="1" t="s">
        <v>106</v>
      </c>
    </row>
    <row r="13" spans="1:9">
      <c r="B13" s="2" t="s">
        <v>92</v>
      </c>
      <c r="C13" s="2" t="s">
        <v>107</v>
      </c>
      <c r="D13" s="2" t="s">
        <v>114</v>
      </c>
      <c r="F13" s="2" t="s">
        <v>120</v>
      </c>
      <c r="G13" s="1" t="s">
        <v>121</v>
      </c>
      <c r="H13" s="1" t="s">
        <v>105</v>
      </c>
      <c r="I13" s="1" t="s">
        <v>106</v>
      </c>
    </row>
    <row r="14" spans="1:9">
      <c r="B14" s="2" t="s">
        <v>93</v>
      </c>
      <c r="C14" s="2" t="s">
        <v>108</v>
      </c>
      <c r="D14" s="2" t="s">
        <v>115</v>
      </c>
      <c r="F14" s="2" t="s">
        <v>120</v>
      </c>
      <c r="G14" s="1" t="s">
        <v>122</v>
      </c>
      <c r="H14" s="1" t="s">
        <v>105</v>
      </c>
      <c r="I14" s="1" t="s">
        <v>106</v>
      </c>
    </row>
    <row r="15" spans="1:9">
      <c r="B15" s="2" t="s">
        <v>96</v>
      </c>
      <c r="C15" s="2" t="s">
        <v>110</v>
      </c>
      <c r="D15" s="2" t="s">
        <v>116</v>
      </c>
      <c r="F15" s="2" t="s">
        <v>120</v>
      </c>
      <c r="G15" s="1" t="s">
        <v>123</v>
      </c>
      <c r="H15" s="1" t="s">
        <v>105</v>
      </c>
      <c r="I15" s="1" t="s">
        <v>106</v>
      </c>
    </row>
    <row r="16" spans="1:9">
      <c r="B16" s="2" t="s">
        <v>100</v>
      </c>
      <c r="C16" s="2" t="s">
        <v>112</v>
      </c>
      <c r="F16" s="2" t="s">
        <v>120</v>
      </c>
      <c r="G16" s="1" t="s">
        <v>124</v>
      </c>
      <c r="H16" s="1" t="s">
        <v>105</v>
      </c>
      <c r="I16" s="1" t="s">
        <v>106</v>
      </c>
    </row>
    <row r="17" spans="1:9">
      <c r="B17" s="2" t="s">
        <v>102</v>
      </c>
      <c r="F17" s="1" t="s">
        <v>125</v>
      </c>
      <c r="G17" s="1" t="s">
        <v>126</v>
      </c>
      <c r="H17" s="1" t="s">
        <v>105</v>
      </c>
      <c r="I17" s="1" t="s">
        <v>106</v>
      </c>
    </row>
    <row r="18" spans="1:9">
      <c r="F18" s="1" t="s">
        <v>125</v>
      </c>
      <c r="G18" s="2" t="s">
        <v>127</v>
      </c>
      <c r="H18" s="1" t="s">
        <v>105</v>
      </c>
      <c r="I18" s="1" t="s">
        <v>106</v>
      </c>
    </row>
    <row r="19" spans="1:9">
      <c r="F19" s="1" t="s">
        <v>125</v>
      </c>
      <c r="G19" s="2" t="s">
        <v>128</v>
      </c>
      <c r="H19" s="1" t="s">
        <v>105</v>
      </c>
      <c r="I19" s="1" t="s">
        <v>106</v>
      </c>
    </row>
    <row r="20" spans="1:9">
      <c r="D20" s="43" t="s">
        <v>129</v>
      </c>
      <c r="F20" s="1" t="s">
        <v>125</v>
      </c>
      <c r="G20" s="2" t="s">
        <v>130</v>
      </c>
      <c r="H20" s="1" t="s">
        <v>105</v>
      </c>
      <c r="I20" s="1" t="s">
        <v>106</v>
      </c>
    </row>
    <row r="21" spans="1:9">
      <c r="D21" s="43" t="s">
        <v>131</v>
      </c>
      <c r="F21" s="1" t="s">
        <v>125</v>
      </c>
      <c r="G21" s="2" t="s">
        <v>132</v>
      </c>
      <c r="H21" s="1" t="s">
        <v>105</v>
      </c>
      <c r="I21" s="1" t="s">
        <v>106</v>
      </c>
    </row>
    <row r="22" spans="1:9">
      <c r="D22" s="43" t="s">
        <v>133</v>
      </c>
      <c r="F22" s="2" t="s">
        <v>125</v>
      </c>
      <c r="G22" s="2" t="s">
        <v>134</v>
      </c>
      <c r="H22" s="1" t="s">
        <v>105</v>
      </c>
      <c r="I22" s="1" t="s">
        <v>106</v>
      </c>
    </row>
    <row r="23" spans="1:9">
      <c r="F23" s="2" t="s">
        <v>135</v>
      </c>
      <c r="G23" s="2" t="s">
        <v>136</v>
      </c>
      <c r="H23" s="1" t="s">
        <v>105</v>
      </c>
      <c r="I23" s="1" t="s">
        <v>106</v>
      </c>
    </row>
    <row r="24" spans="1:9">
      <c r="A24" s="1" t="s">
        <v>137</v>
      </c>
      <c r="B24" s="1" t="s">
        <v>105</v>
      </c>
      <c r="C24" s="1" t="s">
        <v>138</v>
      </c>
      <c r="D24" s="1" t="s">
        <v>99</v>
      </c>
      <c r="F24" s="2" t="s">
        <v>135</v>
      </c>
      <c r="G24" s="2" t="s">
        <v>139</v>
      </c>
      <c r="H24" s="1" t="s">
        <v>105</v>
      </c>
      <c r="I24" s="1" t="s">
        <v>106</v>
      </c>
    </row>
    <row r="25" ht="27.6" spans="1:9">
      <c r="A25" s="2" t="s">
        <v>140</v>
      </c>
      <c r="B25" s="44" t="s">
        <v>141</v>
      </c>
      <c r="C25" s="44" t="s">
        <v>142</v>
      </c>
      <c r="D25" s="44" t="s">
        <v>143</v>
      </c>
      <c r="F25" s="2" t="s">
        <v>135</v>
      </c>
      <c r="G25" s="2" t="s">
        <v>144</v>
      </c>
      <c r="H25" s="1" t="s">
        <v>105</v>
      </c>
      <c r="I25" s="1" t="s">
        <v>106</v>
      </c>
    </row>
    <row r="26" spans="1:9">
      <c r="F26" s="2" t="s">
        <v>135</v>
      </c>
      <c r="G26" s="2" t="s">
        <v>145</v>
      </c>
      <c r="H26" s="1" t="s">
        <v>105</v>
      </c>
      <c r="I26" s="1" t="s">
        <v>106</v>
      </c>
    </row>
    <row r="27" spans="1:9">
      <c r="F27" s="2" t="s">
        <v>135</v>
      </c>
      <c r="G27" s="2" t="s">
        <v>146</v>
      </c>
      <c r="H27" s="1" t="s">
        <v>105</v>
      </c>
      <c r="I27" s="1" t="s">
        <v>106</v>
      </c>
    </row>
    <row r="28" spans="1:9">
      <c r="F28" s="2" t="s">
        <v>135</v>
      </c>
      <c r="G28" s="2" t="s">
        <v>147</v>
      </c>
      <c r="H28" s="1" t="s">
        <v>105</v>
      </c>
      <c r="I28" s="1" t="s">
        <v>106</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73"/>
  <sheetViews>
    <sheetView workbookViewId="0">
      <selection activeCell="A27" sqref="A15:J33"/>
    </sheetView>
  </sheetViews>
  <sheetFormatPr defaultColWidth="9" defaultRowHeight="13.8"/>
  <cols>
    <col min="1" max="1" width="19.25" customWidth="1"/>
    <col min="2" max="2" width="22.6296296296296" style="1" customWidth="1"/>
    <col min="3" max="3" width="19.3796296296296" style="1" customWidth="1"/>
    <col min="4" max="4" width="21.5" style="1" customWidth="1"/>
    <col min="5" max="5" width="22.75" customWidth="1"/>
    <col min="6" max="6" width="21" customWidth="1"/>
    <col min="7" max="7" width="22.75" customWidth="1"/>
    <col min="8" max="8" width="23.8796296296296" customWidth="1"/>
    <col min="9" max="9" width="24.5" customWidth="1"/>
    <col min="10" max="11" width="23.8796296296296" customWidth="1"/>
    <col min="12" max="12" width="25.25" customWidth="1"/>
    <col min="13" max="13" width="23" customWidth="1"/>
    <col min="14" max="14" width="18.1296296296296" customWidth="1"/>
    <col min="15" max="15" width="22.25" customWidth="1"/>
    <col min="16" max="16" width="25.25" customWidth="1"/>
    <col min="17" max="17" width="20.5" customWidth="1"/>
    <col min="18" max="18" width="23.8796296296296" customWidth="1"/>
    <col min="19" max="19" width="19" customWidth="1"/>
  </cols>
  <sheetData>
    <row r="1" ht="14.4" spans="1:19">
      <c r="A1" s="22" t="s">
        <v>148</v>
      </c>
      <c r="B1" s="22" t="s">
        <v>38</v>
      </c>
      <c r="C1" s="22" t="s">
        <v>149</v>
      </c>
      <c r="D1" s="23" t="s">
        <v>150</v>
      </c>
      <c r="E1" s="22" t="s">
        <v>151</v>
      </c>
      <c r="F1" s="22" t="s">
        <v>152</v>
      </c>
      <c r="G1" s="22" t="s">
        <v>153</v>
      </c>
      <c r="H1" s="22" t="s">
        <v>154</v>
      </c>
      <c r="I1" s="22" t="s">
        <v>155</v>
      </c>
      <c r="J1" s="22" t="s">
        <v>156</v>
      </c>
      <c r="K1" s="22" t="s">
        <v>157</v>
      </c>
      <c r="L1" s="24" t="s">
        <v>158</v>
      </c>
      <c r="M1" s="22" t="s">
        <v>159</v>
      </c>
      <c r="N1" s="22" t="s">
        <v>160</v>
      </c>
      <c r="O1" s="22" t="s">
        <v>161</v>
      </c>
      <c r="P1" s="22" t="s">
        <v>162</v>
      </c>
      <c r="Q1" s="22" t="s">
        <v>163</v>
      </c>
      <c r="R1" s="22" t="s">
        <v>164</v>
      </c>
    </row>
    <row r="2" ht="14.4" spans="1:19">
      <c r="A2" s="25" t="s">
        <v>165</v>
      </c>
      <c r="B2" s="26" t="s">
        <v>166</v>
      </c>
      <c r="C2" s="26" t="s">
        <v>166</v>
      </c>
      <c r="D2" s="26" t="s">
        <v>166</v>
      </c>
      <c r="E2" s="26" t="s">
        <v>167</v>
      </c>
      <c r="F2" s="27" t="s">
        <v>168</v>
      </c>
      <c r="G2" s="26" t="s">
        <v>169</v>
      </c>
      <c r="H2" s="26" t="s">
        <v>166</v>
      </c>
      <c r="I2" s="26" t="s">
        <v>166</v>
      </c>
      <c r="J2" s="26" t="s">
        <v>170</v>
      </c>
      <c r="K2" s="26" t="s">
        <v>166</v>
      </c>
      <c r="L2" s="26" t="s">
        <v>166</v>
      </c>
      <c r="M2" s="26" t="s">
        <v>171</v>
      </c>
      <c r="N2" s="26" t="s">
        <v>171</v>
      </c>
      <c r="O2" s="26" t="s">
        <v>172</v>
      </c>
      <c r="P2" s="26" t="s">
        <v>173</v>
      </c>
      <c r="Q2" s="26" t="s">
        <v>174</v>
      </c>
      <c r="R2" s="9" t="s">
        <v>175</v>
      </c>
    </row>
    <row r="3" ht="14.4" spans="1:19">
      <c r="A3" s="25"/>
      <c r="B3" s="26" t="s">
        <v>176</v>
      </c>
      <c r="C3" s="26" t="s">
        <v>176</v>
      </c>
      <c r="D3" s="26" t="s">
        <v>39</v>
      </c>
      <c r="E3" s="26" t="s">
        <v>172</v>
      </c>
      <c r="F3" s="26" t="s">
        <v>172</v>
      </c>
      <c r="G3" s="26" t="s">
        <v>166</v>
      </c>
      <c r="H3" s="26" t="s">
        <v>177</v>
      </c>
      <c r="I3" s="26" t="s">
        <v>172</v>
      </c>
      <c r="J3" s="26" t="s">
        <v>166</v>
      </c>
      <c r="K3" s="26" t="s">
        <v>172</v>
      </c>
      <c r="L3" s="26" t="s">
        <v>172</v>
      </c>
      <c r="M3" s="26" t="s">
        <v>172</v>
      </c>
      <c r="N3" s="26" t="s">
        <v>172</v>
      </c>
      <c r="O3" s="26" t="s">
        <v>171</v>
      </c>
      <c r="P3" s="26" t="s">
        <v>172</v>
      </c>
      <c r="Q3" s="26" t="s">
        <v>171</v>
      </c>
      <c r="R3" s="9" t="s">
        <v>171</v>
      </c>
    </row>
    <row r="4" ht="14.4" spans="1:19">
      <c r="A4" s="25"/>
      <c r="B4" s="26" t="s">
        <v>172</v>
      </c>
      <c r="C4" s="26" t="s">
        <v>172</v>
      </c>
      <c r="D4" s="26" t="s">
        <v>176</v>
      </c>
      <c r="E4" s="26" t="s">
        <v>177</v>
      </c>
      <c r="F4" s="26" t="s">
        <v>177</v>
      </c>
      <c r="G4" s="26" t="s">
        <v>39</v>
      </c>
      <c r="H4" s="26" t="s">
        <v>178</v>
      </c>
      <c r="I4" s="28" t="s">
        <v>169</v>
      </c>
      <c r="J4" s="26" t="s">
        <v>172</v>
      </c>
      <c r="K4" s="28" t="s">
        <v>169</v>
      </c>
      <c r="L4" s="28" t="s">
        <v>169</v>
      </c>
      <c r="M4" s="26" t="s">
        <v>175</v>
      </c>
      <c r="N4" s="26" t="s">
        <v>177</v>
      </c>
      <c r="O4" s="26" t="s">
        <v>177</v>
      </c>
      <c r="P4" s="26"/>
      <c r="Q4" s="26" t="s">
        <v>172</v>
      </c>
      <c r="R4" s="9" t="s">
        <v>172</v>
      </c>
    </row>
    <row r="5" ht="14.4" spans="1:19">
      <c r="A5" s="25"/>
      <c r="B5" s="26" t="s">
        <v>177</v>
      </c>
      <c r="C5" s="26" t="s">
        <v>177</v>
      </c>
      <c r="D5" s="26" t="s">
        <v>172</v>
      </c>
      <c r="E5" s="28" t="s">
        <v>169</v>
      </c>
      <c r="F5" s="26" t="s">
        <v>166</v>
      </c>
      <c r="G5" s="26" t="s">
        <v>176</v>
      </c>
      <c r="H5" s="26" t="s">
        <v>39</v>
      </c>
      <c r="I5" s="26" t="s">
        <v>177</v>
      </c>
      <c r="J5" s="26" t="s">
        <v>169</v>
      </c>
      <c r="K5" s="26" t="s">
        <v>177</v>
      </c>
      <c r="L5" s="26" t="s">
        <v>177</v>
      </c>
      <c r="M5" s="26" t="s">
        <v>177</v>
      </c>
      <c r="N5" s="26" t="s">
        <v>178</v>
      </c>
      <c r="O5" s="26" t="s">
        <v>178</v>
      </c>
      <c r="P5" s="26"/>
      <c r="Q5" s="26"/>
      <c r="R5" s="9"/>
    </row>
    <row r="6" ht="14.4" spans="1:19">
      <c r="A6" s="25"/>
      <c r="B6" s="28" t="s">
        <v>169</v>
      </c>
      <c r="C6" s="28" t="s">
        <v>169</v>
      </c>
      <c r="D6" s="26" t="s">
        <v>177</v>
      </c>
      <c r="E6" s="26" t="s">
        <v>166</v>
      </c>
      <c r="F6" s="26" t="s">
        <v>178</v>
      </c>
      <c r="G6" s="26" t="s">
        <v>167</v>
      </c>
      <c r="H6" s="29" t="s">
        <v>179</v>
      </c>
      <c r="I6" s="26" t="s">
        <v>178</v>
      </c>
      <c r="J6" s="26" t="s">
        <v>177</v>
      </c>
      <c r="K6" s="26" t="s">
        <v>178</v>
      </c>
      <c r="L6" s="26" t="s">
        <v>178</v>
      </c>
      <c r="M6" s="26" t="s">
        <v>178</v>
      </c>
      <c r="N6" s="26"/>
      <c r="O6" s="30"/>
      <c r="P6" s="26"/>
      <c r="Q6" s="26"/>
      <c r="R6" s="9"/>
    </row>
    <row r="7" ht="14.4" spans="1:19">
      <c r="A7" s="25"/>
      <c r="B7" s="26" t="s">
        <v>178</v>
      </c>
      <c r="C7" s="26" t="s">
        <v>178</v>
      </c>
      <c r="D7" s="28" t="s">
        <v>169</v>
      </c>
      <c r="E7" s="26" t="s">
        <v>178</v>
      </c>
      <c r="F7" s="26" t="s">
        <v>39</v>
      </c>
      <c r="G7" s="29" t="s">
        <v>179</v>
      </c>
      <c r="H7" s="26" t="s">
        <v>172</v>
      </c>
      <c r="I7" s="26" t="s">
        <v>39</v>
      </c>
      <c r="J7" s="26" t="s">
        <v>178</v>
      </c>
      <c r="K7" s="26" t="s">
        <v>39</v>
      </c>
      <c r="L7" s="26" t="s">
        <v>39</v>
      </c>
      <c r="M7" s="26"/>
      <c r="N7" s="26"/>
      <c r="O7" s="26"/>
      <c r="P7" s="26"/>
      <c r="Q7" s="26"/>
      <c r="R7" s="9"/>
    </row>
    <row r="8" ht="14.4" spans="1:19">
      <c r="A8" s="25"/>
      <c r="B8" s="26" t="s">
        <v>39</v>
      </c>
      <c r="C8" s="26" t="s">
        <v>39</v>
      </c>
      <c r="D8" s="26" t="s">
        <v>178</v>
      </c>
      <c r="E8" s="26" t="s">
        <v>39</v>
      </c>
      <c r="F8" s="29" t="s">
        <v>179</v>
      </c>
      <c r="G8" s="27" t="s">
        <v>168</v>
      </c>
      <c r="H8" s="26"/>
      <c r="I8" s="29" t="s">
        <v>179</v>
      </c>
      <c r="J8" s="26" t="s">
        <v>39</v>
      </c>
      <c r="K8" s="29" t="s">
        <v>179</v>
      </c>
      <c r="L8" s="29" t="s">
        <v>179</v>
      </c>
      <c r="M8" s="26"/>
      <c r="N8" s="26"/>
      <c r="O8" s="26"/>
      <c r="P8" s="26"/>
      <c r="Q8" s="26"/>
      <c r="R8" s="9"/>
    </row>
    <row r="9" ht="14.4" spans="1:19">
      <c r="A9" s="25"/>
      <c r="B9" s="29" t="s">
        <v>179</v>
      </c>
      <c r="C9" s="29" t="s">
        <v>179</v>
      </c>
      <c r="D9" s="29" t="s">
        <v>179</v>
      </c>
      <c r="E9" s="29" t="s">
        <v>179</v>
      </c>
      <c r="G9" s="26" t="s">
        <v>177</v>
      </c>
      <c r="H9" s="26"/>
      <c r="I9" s="27" t="s">
        <v>170</v>
      </c>
      <c r="J9" s="29" t="s">
        <v>179</v>
      </c>
      <c r="K9" s="27" t="s">
        <v>168</v>
      </c>
      <c r="L9" s="27" t="s">
        <v>168</v>
      </c>
      <c r="M9" s="26"/>
      <c r="N9" s="26"/>
      <c r="O9" s="26"/>
      <c r="P9" s="26"/>
      <c r="Q9" s="26"/>
      <c r="R9" s="9"/>
    </row>
    <row r="10" ht="14.4" spans="1:19">
      <c r="A10" s="25"/>
      <c r="B10" s="27" t="s">
        <v>168</v>
      </c>
      <c r="C10" s="27" t="s">
        <v>168</v>
      </c>
      <c r="D10" s="27" t="s">
        <v>168</v>
      </c>
      <c r="E10" s="26"/>
      <c r="F10" s="26"/>
      <c r="G10" s="26" t="s">
        <v>172</v>
      </c>
      <c r="H10" s="26"/>
      <c r="I10" s="26"/>
      <c r="J10" s="26"/>
      <c r="K10" s="26"/>
      <c r="L10" s="26"/>
      <c r="M10" s="26"/>
      <c r="N10" s="26"/>
      <c r="O10" s="26"/>
      <c r="P10" s="26"/>
      <c r="Q10" s="26"/>
      <c r="R10" s="9"/>
    </row>
    <row r="11" ht="14.4" spans="1:19">
      <c r="A11" s="25"/>
      <c r="B11" s="26"/>
      <c r="C11" s="26"/>
      <c r="D11" s="27" t="s">
        <v>170</v>
      </c>
      <c r="E11" s="26"/>
      <c r="F11" s="26"/>
      <c r="G11" s="26" t="s">
        <v>178</v>
      </c>
      <c r="H11" s="26"/>
      <c r="I11" s="26"/>
      <c r="J11" s="26"/>
      <c r="K11" s="26"/>
      <c r="L11" s="26"/>
      <c r="M11" s="26"/>
      <c r="N11" s="26"/>
      <c r="O11" s="26"/>
      <c r="P11" s="26"/>
      <c r="Q11" s="26"/>
      <c r="R11" s="9"/>
    </row>
    <row r="12" ht="14.4" spans="1:19">
      <c r="A12" s="31"/>
      <c r="B12" s="32"/>
      <c r="C12" s="32"/>
      <c r="D12" s="32"/>
      <c r="E12" s="31"/>
      <c r="F12" s="31"/>
      <c r="G12" s="31"/>
      <c r="I12" s="31"/>
      <c r="J12" s="31"/>
      <c r="K12" s="31"/>
      <c r="L12" s="31"/>
      <c r="M12" s="31"/>
    </row>
    <row r="13" ht="14.4" spans="1:19">
      <c r="A13" s="31"/>
      <c r="B13" s="32"/>
      <c r="C13" s="32"/>
      <c r="D13" s="32"/>
      <c r="E13" s="31"/>
      <c r="F13" s="31"/>
      <c r="G13" s="31"/>
      <c r="H13" s="31"/>
      <c r="I13" s="31"/>
      <c r="J13" s="31"/>
      <c r="K13" s="31"/>
      <c r="L13" s="31"/>
      <c r="M13" s="31"/>
      <c r="R13" s="24"/>
    </row>
    <row r="14" ht="14.4" spans="1:19">
      <c r="A14" s="22" t="s">
        <v>180</v>
      </c>
      <c r="B14" s="22" t="s">
        <v>166</v>
      </c>
      <c r="C14" s="22" t="s">
        <v>39</v>
      </c>
      <c r="D14" s="22" t="s">
        <v>179</v>
      </c>
      <c r="E14" s="22" t="s">
        <v>176</v>
      </c>
      <c r="F14" s="24" t="s">
        <v>169</v>
      </c>
      <c r="G14" s="22" t="s">
        <v>167</v>
      </c>
      <c r="H14" s="22" t="s">
        <v>181</v>
      </c>
      <c r="I14" s="24" t="s">
        <v>177</v>
      </c>
      <c r="J14" s="22" t="s">
        <v>182</v>
      </c>
      <c r="K14" s="22" t="s">
        <v>173</v>
      </c>
      <c r="L14" s="24" t="s">
        <v>172</v>
      </c>
      <c r="M14" s="24" t="s">
        <v>183</v>
      </c>
      <c r="N14" s="24" t="s">
        <v>174</v>
      </c>
      <c r="O14" s="24" t="s">
        <v>171</v>
      </c>
      <c r="P14" s="24" t="s">
        <v>184</v>
      </c>
      <c r="Q14" s="24" t="s">
        <v>168</v>
      </c>
      <c r="R14" s="24" t="s">
        <v>170</v>
      </c>
      <c r="S14" s="22" t="s">
        <v>178</v>
      </c>
    </row>
    <row r="15" ht="15" spans="1:19">
      <c r="A15" s="33" t="s">
        <v>19</v>
      </c>
      <c r="B15" s="9" t="s">
        <v>185</v>
      </c>
      <c r="C15" s="9" t="s">
        <v>186</v>
      </c>
      <c r="D15" s="18" t="s">
        <v>187</v>
      </c>
      <c r="E15" s="9" t="s">
        <v>188</v>
      </c>
      <c r="F15" s="34" t="s">
        <v>189</v>
      </c>
      <c r="G15" s="9" t="s">
        <v>190</v>
      </c>
      <c r="H15" s="9" t="s">
        <v>191</v>
      </c>
      <c r="I15" s="34" t="s">
        <v>192</v>
      </c>
      <c r="J15" s="9" t="s">
        <v>193</v>
      </c>
      <c r="K15" s="16" t="s">
        <v>194</v>
      </c>
      <c r="L15" s="35" t="s">
        <v>195</v>
      </c>
      <c r="M15" s="35" t="s">
        <v>196</v>
      </c>
      <c r="N15" s="34" t="s">
        <v>197</v>
      </c>
      <c r="O15" s="34" t="s">
        <v>198</v>
      </c>
      <c r="P15" s="34" t="s">
        <v>199</v>
      </c>
      <c r="Q15" s="35" t="s">
        <v>200</v>
      </c>
      <c r="R15" s="35" t="s">
        <v>201</v>
      </c>
      <c r="S15" s="9" t="s">
        <v>202</v>
      </c>
    </row>
    <row r="16" ht="15" spans="1:19">
      <c r="A16" s="36"/>
      <c r="B16" s="9" t="s">
        <v>203</v>
      </c>
      <c r="C16" s="9" t="s">
        <v>204</v>
      </c>
      <c r="D16" s="18" t="s">
        <v>205</v>
      </c>
      <c r="E16" s="9" t="s">
        <v>206</v>
      </c>
      <c r="F16" s="34" t="s">
        <v>207</v>
      </c>
      <c r="G16" s="9" t="s">
        <v>208</v>
      </c>
      <c r="H16" s="9" t="s">
        <v>209</v>
      </c>
      <c r="I16" s="22"/>
      <c r="J16" s="9" t="s">
        <v>210</v>
      </c>
      <c r="K16" s="16" t="s">
        <v>211</v>
      </c>
      <c r="L16" s="9"/>
      <c r="M16" s="35" t="s">
        <v>212</v>
      </c>
      <c r="N16" s="34" t="s">
        <v>213</v>
      </c>
      <c r="O16" s="34" t="s">
        <v>214</v>
      </c>
      <c r="P16" s="34" t="s">
        <v>215</v>
      </c>
      <c r="Q16" s="35" t="s">
        <v>216</v>
      </c>
      <c r="R16" s="35" t="s">
        <v>217</v>
      </c>
    </row>
    <row r="17" ht="15" spans="1:18">
      <c r="A17" s="36"/>
      <c r="B17" s="9" t="s">
        <v>218</v>
      </c>
      <c r="C17" s="9" t="s">
        <v>219</v>
      </c>
      <c r="D17" s="18" t="s">
        <v>220</v>
      </c>
      <c r="E17" s="9" t="s">
        <v>221</v>
      </c>
      <c r="F17" s="34" t="s">
        <v>222</v>
      </c>
      <c r="G17" s="9" t="s">
        <v>223</v>
      </c>
      <c r="H17" s="9" t="s">
        <v>224</v>
      </c>
      <c r="I17" s="22"/>
      <c r="J17" s="9" t="s">
        <v>225</v>
      </c>
      <c r="K17" s="16" t="s">
        <v>226</v>
      </c>
      <c r="L17" s="9"/>
      <c r="M17" s="35" t="s">
        <v>227</v>
      </c>
      <c r="N17" s="34" t="s">
        <v>228</v>
      </c>
      <c r="O17" s="34" t="s">
        <v>229</v>
      </c>
      <c r="P17" s="34" t="s">
        <v>230</v>
      </c>
      <c r="Q17" s="35" t="s">
        <v>231</v>
      </c>
      <c r="R17" s="35" t="s">
        <v>232</v>
      </c>
    </row>
    <row r="18" ht="15" spans="1:18">
      <c r="A18" s="36"/>
      <c r="B18" s="9" t="s">
        <v>233</v>
      </c>
      <c r="C18" s="9" t="s">
        <v>234</v>
      </c>
      <c r="D18" s="18" t="s">
        <v>235</v>
      </c>
      <c r="E18" s="9" t="s">
        <v>236</v>
      </c>
      <c r="F18" s="34" t="s">
        <v>237</v>
      </c>
      <c r="G18" s="9" t="s">
        <v>238</v>
      </c>
      <c r="H18" s="9" t="s">
        <v>239</v>
      </c>
      <c r="I18" s="22"/>
      <c r="J18" s="9" t="s">
        <v>240</v>
      </c>
      <c r="K18" s="16" t="s">
        <v>241</v>
      </c>
      <c r="L18" s="9"/>
      <c r="M18" s="35" t="s">
        <v>242</v>
      </c>
      <c r="N18" s="34" t="s">
        <v>243</v>
      </c>
      <c r="O18" s="34" t="s">
        <v>244</v>
      </c>
      <c r="P18" s="34" t="s">
        <v>245</v>
      </c>
      <c r="Q18" s="35" t="s">
        <v>246</v>
      </c>
      <c r="R18" s="35" t="s">
        <v>247</v>
      </c>
    </row>
    <row r="19" ht="15" spans="1:18">
      <c r="A19" s="36"/>
      <c r="B19" s="9" t="s">
        <v>248</v>
      </c>
      <c r="C19" s="9" t="s">
        <v>249</v>
      </c>
      <c r="D19" s="18" t="s">
        <v>250</v>
      </c>
      <c r="E19" s="9" t="s">
        <v>251</v>
      </c>
      <c r="F19" s="34" t="s">
        <v>252</v>
      </c>
      <c r="G19" s="9" t="s">
        <v>253</v>
      </c>
      <c r="H19" s="9" t="s">
        <v>254</v>
      </c>
      <c r="I19" s="22"/>
      <c r="J19" s="9" t="s">
        <v>255</v>
      </c>
      <c r="K19" s="16" t="s">
        <v>256</v>
      </c>
      <c r="L19" s="9"/>
      <c r="M19" s="35" t="s">
        <v>257</v>
      </c>
      <c r="N19" s="34" t="s">
        <v>258</v>
      </c>
      <c r="O19" s="34" t="s">
        <v>259</v>
      </c>
      <c r="P19" s="34" t="s">
        <v>260</v>
      </c>
      <c r="Q19" s="35" t="s">
        <v>261</v>
      </c>
      <c r="R19" s="35" t="s">
        <v>262</v>
      </c>
    </row>
    <row r="20" ht="15" spans="1:18">
      <c r="A20" s="36"/>
      <c r="B20" s="9" t="s">
        <v>263</v>
      </c>
      <c r="C20" s="9" t="s">
        <v>264</v>
      </c>
      <c r="D20" s="18" t="s">
        <v>265</v>
      </c>
      <c r="E20" s="9" t="s">
        <v>266</v>
      </c>
      <c r="F20" s="34" t="s">
        <v>267</v>
      </c>
      <c r="G20" s="9" t="s">
        <v>268</v>
      </c>
      <c r="H20" s="9" t="s">
        <v>269</v>
      </c>
      <c r="I20" s="22"/>
      <c r="J20" s="9" t="s">
        <v>270</v>
      </c>
      <c r="K20" s="16" t="s">
        <v>271</v>
      </c>
      <c r="L20" s="9"/>
      <c r="M20" s="35" t="s">
        <v>272</v>
      </c>
      <c r="N20" s="34" t="s">
        <v>273</v>
      </c>
      <c r="O20" s="34" t="s">
        <v>274</v>
      </c>
      <c r="P20" s="34" t="s">
        <v>275</v>
      </c>
      <c r="Q20" s="35" t="s">
        <v>276</v>
      </c>
      <c r="R20" s="35" t="s">
        <v>277</v>
      </c>
    </row>
    <row r="21" ht="14.4" spans="1:18">
      <c r="A21" s="36"/>
      <c r="B21" s="9" t="s">
        <v>278</v>
      </c>
      <c r="C21" s="9" t="s">
        <v>279</v>
      </c>
      <c r="D21" s="9"/>
      <c r="E21" s="9" t="s">
        <v>280</v>
      </c>
      <c r="F21" s="34" t="s">
        <v>281</v>
      </c>
      <c r="G21" s="9" t="s">
        <v>282</v>
      </c>
      <c r="H21" s="9" t="s">
        <v>283</v>
      </c>
      <c r="I21" s="22"/>
      <c r="J21" s="9"/>
      <c r="K21" s="16" t="s">
        <v>284</v>
      </c>
      <c r="L21" s="9"/>
      <c r="M21" s="9"/>
      <c r="N21" s="9"/>
      <c r="O21" s="9" t="s">
        <v>285</v>
      </c>
      <c r="P21" s="9" t="s">
        <v>286</v>
      </c>
    </row>
    <row r="22" ht="14.4" spans="1:18">
      <c r="A22" s="36"/>
      <c r="B22" s="9" t="s">
        <v>287</v>
      </c>
      <c r="C22" s="9" t="s">
        <v>288</v>
      </c>
      <c r="D22" s="9"/>
      <c r="E22" s="9"/>
      <c r="F22" s="9"/>
      <c r="G22" s="9" t="s">
        <v>289</v>
      </c>
      <c r="H22" s="9" t="s">
        <v>290</v>
      </c>
      <c r="I22" s="22"/>
      <c r="J22" s="9"/>
      <c r="K22" s="16" t="s">
        <v>291</v>
      </c>
      <c r="L22" s="9"/>
      <c r="M22" s="9"/>
      <c r="N22" s="9"/>
      <c r="O22" s="9"/>
      <c r="P22" s="9" t="s">
        <v>292</v>
      </c>
    </row>
    <row r="23" ht="14.4" spans="1:18">
      <c r="A23" s="36"/>
      <c r="B23" s="9" t="s">
        <v>293</v>
      </c>
      <c r="C23" s="9" t="s">
        <v>43</v>
      </c>
      <c r="D23" s="9"/>
      <c r="E23" s="9"/>
      <c r="F23" s="9"/>
      <c r="G23" s="9" t="s">
        <v>294</v>
      </c>
      <c r="H23" s="9" t="s">
        <v>295</v>
      </c>
      <c r="I23" s="9"/>
      <c r="J23" s="9"/>
      <c r="K23" s="16" t="s">
        <v>296</v>
      </c>
      <c r="L23" s="9"/>
      <c r="M23" s="9"/>
      <c r="N23" s="9"/>
      <c r="O23" s="9"/>
      <c r="P23" s="9" t="s">
        <v>297</v>
      </c>
    </row>
    <row r="24" ht="14.4" spans="1:18">
      <c r="A24" s="36"/>
      <c r="B24" s="9" t="s">
        <v>298</v>
      </c>
      <c r="C24" s="9" t="s">
        <v>299</v>
      </c>
      <c r="D24" s="9"/>
      <c r="E24" s="9"/>
      <c r="F24" s="9"/>
      <c r="G24" s="9" t="s">
        <v>300</v>
      </c>
      <c r="H24" s="9" t="s">
        <v>301</v>
      </c>
      <c r="I24" s="9"/>
      <c r="J24" s="9"/>
      <c r="K24" s="16" t="s">
        <v>302</v>
      </c>
      <c r="L24" s="9"/>
      <c r="M24" s="9"/>
      <c r="N24" s="9"/>
      <c r="O24" s="9"/>
      <c r="P24" s="9" t="s">
        <v>303</v>
      </c>
    </row>
    <row r="25" ht="14.4" spans="1:18">
      <c r="A25" s="36"/>
      <c r="B25" s="9" t="s">
        <v>304</v>
      </c>
      <c r="C25" s="9" t="s">
        <v>41</v>
      </c>
      <c r="D25" s="9"/>
      <c r="E25" s="9"/>
      <c r="F25" s="9"/>
      <c r="G25" s="9" t="s">
        <v>305</v>
      </c>
      <c r="H25" s="9" t="s">
        <v>306</v>
      </c>
      <c r="I25" s="9"/>
      <c r="J25" s="9"/>
      <c r="K25" s="16" t="s">
        <v>307</v>
      </c>
      <c r="L25" s="9"/>
      <c r="M25" s="9"/>
      <c r="N25" s="9"/>
      <c r="O25" s="9"/>
      <c r="P25" s="9" t="s">
        <v>308</v>
      </c>
    </row>
    <row r="26" ht="14.4" spans="1:18">
      <c r="A26" s="36"/>
      <c r="B26" s="9" t="s">
        <v>309</v>
      </c>
      <c r="C26" s="9" t="s">
        <v>61</v>
      </c>
      <c r="D26" s="9"/>
      <c r="E26" s="9"/>
      <c r="F26" s="9"/>
      <c r="G26" s="9" t="s">
        <v>310</v>
      </c>
      <c r="H26" s="9" t="s">
        <v>311</v>
      </c>
      <c r="I26" s="9"/>
      <c r="J26" s="9"/>
      <c r="K26" s="16" t="s">
        <v>312</v>
      </c>
      <c r="L26" s="9"/>
      <c r="M26" s="9"/>
      <c r="N26" s="9"/>
      <c r="O26" s="9"/>
      <c r="P26" s="9" t="s">
        <v>313</v>
      </c>
    </row>
    <row r="27" ht="14.4" spans="1:18">
      <c r="A27" s="36"/>
      <c r="B27" s="9" t="s">
        <v>314</v>
      </c>
      <c r="C27" s="9" t="s">
        <v>315</v>
      </c>
      <c r="D27" s="9"/>
      <c r="E27" s="9"/>
      <c r="F27" s="9"/>
      <c r="G27" s="9" t="s">
        <v>316</v>
      </c>
      <c r="H27" s="9"/>
      <c r="I27" s="9"/>
      <c r="J27" s="9"/>
      <c r="K27" s="16" t="s">
        <v>317</v>
      </c>
      <c r="L27" s="9"/>
      <c r="M27" s="9"/>
      <c r="N27" s="9"/>
      <c r="O27" s="9"/>
      <c r="P27" s="9"/>
    </row>
    <row r="28" ht="14.4" spans="1:18">
      <c r="A28" s="36"/>
      <c r="B28" s="9" t="s">
        <v>318</v>
      </c>
      <c r="C28" s="9" t="s">
        <v>36</v>
      </c>
      <c r="D28" s="9"/>
      <c r="E28" s="9"/>
      <c r="F28" s="9"/>
      <c r="G28" s="9"/>
      <c r="H28" s="9"/>
      <c r="I28" s="9"/>
      <c r="J28" s="9"/>
      <c r="K28" s="16" t="s">
        <v>319</v>
      </c>
      <c r="L28" s="9"/>
      <c r="M28" s="9"/>
      <c r="N28" s="9"/>
      <c r="O28" s="9"/>
      <c r="P28" s="9"/>
    </row>
    <row r="29" ht="14.4" spans="1:18">
      <c r="A29" s="36"/>
      <c r="B29" s="9"/>
      <c r="C29" s="9"/>
      <c r="D29" s="9"/>
      <c r="E29" s="9"/>
      <c r="F29" s="9"/>
      <c r="G29" s="9"/>
      <c r="H29" s="9"/>
      <c r="I29" s="9"/>
      <c r="J29" s="9"/>
      <c r="K29" s="16" t="s">
        <v>320</v>
      </c>
      <c r="L29" s="9"/>
      <c r="M29" s="9"/>
      <c r="N29" s="9"/>
      <c r="O29" s="9"/>
      <c r="P29" s="9"/>
    </row>
    <row r="30" ht="14.4" spans="1:18">
      <c r="A30" s="36"/>
      <c r="B30" s="9"/>
      <c r="C30" s="9"/>
      <c r="D30" s="9"/>
      <c r="E30" s="9"/>
      <c r="F30" s="9"/>
      <c r="G30" s="9"/>
      <c r="H30" s="9"/>
      <c r="I30" s="9"/>
      <c r="J30" s="9"/>
      <c r="K30" s="16" t="s">
        <v>321</v>
      </c>
      <c r="L30" s="9"/>
      <c r="M30" s="9"/>
      <c r="N30" s="9"/>
      <c r="O30" s="9"/>
      <c r="P30" s="9"/>
    </row>
    <row r="31" ht="14.4" spans="1:18">
      <c r="A31" s="36"/>
      <c r="B31" s="9"/>
      <c r="C31" s="9"/>
      <c r="D31" s="9"/>
      <c r="E31" s="9"/>
      <c r="F31" s="9"/>
      <c r="G31" s="9"/>
      <c r="H31" s="9"/>
      <c r="I31" s="9"/>
      <c r="J31" s="9"/>
      <c r="K31" s="16" t="s">
        <v>322</v>
      </c>
      <c r="L31" s="9"/>
      <c r="M31" s="9"/>
      <c r="N31" s="9"/>
      <c r="O31" s="9"/>
      <c r="P31" s="9"/>
    </row>
    <row r="32" ht="14.4" spans="1:18">
      <c r="A32" s="36"/>
      <c r="B32" s="9"/>
      <c r="C32" s="9"/>
      <c r="D32" s="9"/>
      <c r="E32" s="9"/>
      <c r="F32" s="9"/>
      <c r="G32" s="9"/>
      <c r="H32" s="9"/>
      <c r="I32" s="9"/>
      <c r="J32" s="9"/>
      <c r="K32" s="16" t="s">
        <v>323</v>
      </c>
      <c r="L32" s="9"/>
      <c r="M32" s="9"/>
      <c r="N32" s="9"/>
      <c r="O32" s="9"/>
      <c r="P32" s="9"/>
    </row>
    <row r="33" ht="14.4" spans="1:19">
      <c r="A33" s="36"/>
      <c r="B33" s="9"/>
      <c r="C33" s="9"/>
      <c r="D33" s="9"/>
      <c r="E33" s="9"/>
      <c r="F33" s="9"/>
      <c r="G33" s="9"/>
      <c r="H33" s="9"/>
      <c r="I33" s="9"/>
      <c r="J33" s="9"/>
      <c r="K33" s="16" t="s">
        <v>324</v>
      </c>
      <c r="L33" s="9"/>
      <c r="M33" s="9"/>
      <c r="N33" s="9"/>
      <c r="O33" s="9"/>
      <c r="P33" s="9"/>
    </row>
    <row r="34" ht="14.4" spans="1:19">
      <c r="A34" s="31"/>
      <c r="B34" s="32"/>
      <c r="C34" s="32"/>
      <c r="D34" s="32"/>
      <c r="E34" s="31"/>
      <c r="F34" s="31"/>
      <c r="G34" s="31"/>
      <c r="H34" s="31"/>
      <c r="I34" s="31"/>
      <c r="J34" s="31"/>
      <c r="K34" s="31"/>
      <c r="L34" s="31"/>
      <c r="M34" s="31"/>
    </row>
    <row r="35" ht="14.4" spans="1:19">
      <c r="A35" s="31"/>
      <c r="B35" s="32"/>
      <c r="C35" s="32"/>
      <c r="D35" s="32"/>
      <c r="E35" s="31"/>
      <c r="F35" s="31"/>
      <c r="G35" s="31"/>
      <c r="H35" s="31"/>
      <c r="I35" s="31"/>
      <c r="J35" s="31"/>
      <c r="K35" s="31"/>
      <c r="L35" s="31"/>
      <c r="M35" s="31"/>
    </row>
    <row r="36" ht="14.4" spans="1:19">
      <c r="A36" s="31"/>
      <c r="B36" s="2" t="s">
        <v>92</v>
      </c>
      <c r="C36" s="32"/>
      <c r="D36" s="32"/>
      <c r="E36" s="31"/>
      <c r="F36" s="31"/>
      <c r="G36" s="31"/>
      <c r="H36" s="31"/>
      <c r="I36" s="31"/>
      <c r="J36" s="31"/>
      <c r="K36" s="31"/>
      <c r="L36" s="31"/>
      <c r="M36" s="31"/>
    </row>
    <row r="37" ht="14.4" spans="1:19">
      <c r="A37" s="31"/>
      <c r="B37" s="2" t="s">
        <v>107</v>
      </c>
      <c r="C37" s="32"/>
      <c r="D37" s="32"/>
      <c r="E37" s="31"/>
      <c r="F37" s="31"/>
      <c r="G37" s="31"/>
      <c r="H37" s="31"/>
      <c r="I37" s="31"/>
      <c r="J37" s="31"/>
      <c r="K37" s="31"/>
      <c r="L37" s="31"/>
      <c r="M37" s="31"/>
    </row>
    <row r="38" ht="14.4" spans="1:19">
      <c r="A38" s="31"/>
      <c r="B38" s="2" t="s">
        <v>114</v>
      </c>
      <c r="C38" s="32"/>
      <c r="D38" s="32"/>
      <c r="E38" s="31"/>
      <c r="F38" s="31"/>
      <c r="G38" s="31"/>
      <c r="H38" s="31"/>
      <c r="I38" s="31"/>
      <c r="J38" s="31"/>
      <c r="K38" s="31"/>
      <c r="L38" s="31"/>
      <c r="M38" s="31"/>
    </row>
    <row r="39" ht="14.4" spans="1:19">
      <c r="A39" s="31"/>
      <c r="B39" s="2"/>
      <c r="C39" s="32"/>
      <c r="D39" s="32"/>
      <c r="E39" s="31"/>
      <c r="F39" s="31"/>
      <c r="G39" s="31"/>
      <c r="H39" s="31"/>
      <c r="I39" s="31"/>
      <c r="J39" s="31"/>
      <c r="K39" s="31"/>
      <c r="L39" s="31"/>
      <c r="M39" s="31"/>
    </row>
    <row r="40" ht="14.4" spans="1:19">
      <c r="A40" s="31"/>
      <c r="C40" s="32"/>
      <c r="E40" s="31"/>
      <c r="F40" s="31"/>
      <c r="G40" s="31"/>
      <c r="H40" s="31"/>
      <c r="I40" s="31"/>
      <c r="J40" s="31"/>
      <c r="K40" s="31"/>
      <c r="L40" s="31"/>
      <c r="M40" s="31" t="s">
        <v>325</v>
      </c>
    </row>
    <row r="41" ht="14.4" spans="1:19">
      <c r="A41" s="31"/>
      <c r="B41" s="32"/>
      <c r="C41" s="32"/>
      <c r="D41" s="32"/>
      <c r="E41" s="31"/>
      <c r="F41" s="31"/>
      <c r="G41" s="31"/>
      <c r="H41" s="31"/>
      <c r="I41" s="31"/>
      <c r="J41" s="31"/>
      <c r="K41" s="31"/>
      <c r="L41" s="31"/>
      <c r="M41" s="31"/>
    </row>
    <row r="42" ht="14.4" spans="1:19">
      <c r="A42" s="31"/>
      <c r="C42" s="32"/>
      <c r="D42" s="32"/>
      <c r="E42" s="31"/>
      <c r="F42" s="31"/>
      <c r="G42" s="31"/>
      <c r="H42" s="31"/>
      <c r="I42" s="31"/>
      <c r="J42" s="31"/>
      <c r="K42" s="31"/>
      <c r="L42" s="31"/>
      <c r="M42" s="31"/>
    </row>
    <row r="43" ht="14.4" spans="1:19">
      <c r="A43" s="31"/>
      <c r="C43" s="32"/>
      <c r="D43" s="32"/>
      <c r="E43" s="31"/>
      <c r="F43" s="31"/>
      <c r="G43" s="31"/>
      <c r="H43" s="31"/>
      <c r="I43" s="31"/>
      <c r="J43" s="31"/>
      <c r="K43" s="31"/>
      <c r="L43" s="31"/>
      <c r="M43" s="31"/>
    </row>
    <row r="44" ht="14.4" spans="1:19">
      <c r="A44" s="31"/>
      <c r="C44" s="32"/>
      <c r="D44" s="32"/>
      <c r="E44" s="31"/>
      <c r="F44" s="31"/>
      <c r="G44" s="31"/>
      <c r="H44" s="31"/>
      <c r="I44" s="31"/>
      <c r="J44" s="31"/>
      <c r="K44" s="31"/>
      <c r="L44" s="31"/>
      <c r="M44" s="31"/>
    </row>
    <row r="45" ht="14.4" spans="1:19">
      <c r="A45" s="22" t="s">
        <v>326</v>
      </c>
      <c r="B45" s="37" t="s">
        <v>327</v>
      </c>
      <c r="C45" s="37" t="s">
        <v>328</v>
      </c>
      <c r="D45" s="37" t="s">
        <v>125</v>
      </c>
      <c r="E45" s="37" t="s">
        <v>329</v>
      </c>
      <c r="F45" s="22" t="s">
        <v>325</v>
      </c>
      <c r="G45" s="37" t="s">
        <v>103</v>
      </c>
      <c r="H45" s="37" t="s">
        <v>97</v>
      </c>
      <c r="I45" s="37" t="s">
        <v>330</v>
      </c>
      <c r="J45" s="24" t="s">
        <v>331</v>
      </c>
      <c r="K45" s="24" t="s">
        <v>332</v>
      </c>
      <c r="L45" s="24" t="s">
        <v>333</v>
      </c>
      <c r="M45" s="24" t="s">
        <v>334</v>
      </c>
      <c r="N45" s="22" t="s">
        <v>335</v>
      </c>
      <c r="O45" s="22" t="s">
        <v>336</v>
      </c>
      <c r="P45" s="22" t="s">
        <v>337</v>
      </c>
      <c r="Q45" s="37" t="s">
        <v>338</v>
      </c>
      <c r="R45" s="37" t="s">
        <v>339</v>
      </c>
      <c r="S45" s="37" t="s">
        <v>340</v>
      </c>
    </row>
    <row r="46" ht="15" spans="1:19">
      <c r="A46" s="25" t="s">
        <v>10</v>
      </c>
      <c r="B46" s="38" t="s">
        <v>341</v>
      </c>
      <c r="C46" s="38" t="s">
        <v>341</v>
      </c>
      <c r="D46" s="26" t="s">
        <v>126</v>
      </c>
      <c r="E46" s="26" t="s">
        <v>136</v>
      </c>
      <c r="F46" s="39" t="s">
        <v>342</v>
      </c>
      <c r="G46" s="38" t="s">
        <v>104</v>
      </c>
      <c r="H46" s="26" t="s">
        <v>98</v>
      </c>
      <c r="I46" s="26" t="s">
        <v>343</v>
      </c>
      <c r="J46" s="11" t="s">
        <v>344</v>
      </c>
      <c r="K46" s="9" t="s">
        <v>345</v>
      </c>
      <c r="L46" s="9" t="s">
        <v>346</v>
      </c>
      <c r="M46" s="40" t="s">
        <v>347</v>
      </c>
      <c r="N46" s="40" t="s">
        <v>348</v>
      </c>
      <c r="O46" s="34" t="s">
        <v>349</v>
      </c>
      <c r="P46" s="40" t="s">
        <v>350</v>
      </c>
      <c r="Q46" s="26" t="s">
        <v>351</v>
      </c>
      <c r="R46" s="26" t="s">
        <v>352</v>
      </c>
      <c r="S46" s="26" t="s">
        <v>121</v>
      </c>
    </row>
    <row r="47" ht="15" spans="1:19">
      <c r="A47" s="25"/>
      <c r="B47" s="38" t="s">
        <v>353</v>
      </c>
      <c r="C47" s="38" t="s">
        <v>353</v>
      </c>
      <c r="D47" s="26" t="s">
        <v>127</v>
      </c>
      <c r="E47" s="26" t="s">
        <v>139</v>
      </c>
      <c r="F47" s="39" t="s">
        <v>354</v>
      </c>
      <c r="G47" s="38" t="s">
        <v>109</v>
      </c>
      <c r="H47" s="26" t="s">
        <v>101</v>
      </c>
      <c r="I47" s="26" t="s">
        <v>355</v>
      </c>
      <c r="J47" s="11" t="s">
        <v>356</v>
      </c>
      <c r="K47" s="9" t="s">
        <v>357</v>
      </c>
      <c r="L47" s="9" t="s">
        <v>358</v>
      </c>
      <c r="M47" s="40" t="s">
        <v>359</v>
      </c>
      <c r="N47" s="40" t="s">
        <v>360</v>
      </c>
      <c r="O47" s="34" t="s">
        <v>361</v>
      </c>
      <c r="P47" s="40" t="s">
        <v>362</v>
      </c>
      <c r="Q47" s="26" t="s">
        <v>363</v>
      </c>
      <c r="R47" s="26" t="s">
        <v>364</v>
      </c>
      <c r="S47" s="26" t="s">
        <v>122</v>
      </c>
    </row>
    <row r="48" ht="15" spans="1:19">
      <c r="A48" s="25"/>
      <c r="B48" s="38" t="s">
        <v>365</v>
      </c>
      <c r="C48" s="38" t="s">
        <v>365</v>
      </c>
      <c r="D48" s="26" t="s">
        <v>128</v>
      </c>
      <c r="E48" s="26" t="s">
        <v>144</v>
      </c>
      <c r="F48" s="39" t="s">
        <v>366</v>
      </c>
      <c r="G48" s="38" t="s">
        <v>111</v>
      </c>
      <c r="H48" s="41"/>
      <c r="I48" s="26" t="s">
        <v>367</v>
      </c>
      <c r="J48" s="11"/>
      <c r="K48" s="9" t="s">
        <v>368</v>
      </c>
      <c r="L48" s="9" t="s">
        <v>369</v>
      </c>
      <c r="M48" s="40" t="s">
        <v>370</v>
      </c>
      <c r="N48" s="40" t="s">
        <v>371</v>
      </c>
      <c r="O48" s="34" t="s">
        <v>372</v>
      </c>
      <c r="P48" s="40" t="s">
        <v>373</v>
      </c>
      <c r="Q48" s="26" t="s">
        <v>374</v>
      </c>
      <c r="R48" s="26" t="s">
        <v>375</v>
      </c>
      <c r="S48" s="26" t="s">
        <v>123</v>
      </c>
    </row>
    <row r="49" ht="15" spans="1:19">
      <c r="A49" s="25"/>
      <c r="B49" s="38" t="s">
        <v>376</v>
      </c>
      <c r="C49" s="38" t="s">
        <v>376</v>
      </c>
      <c r="D49" s="26" t="s">
        <v>130</v>
      </c>
      <c r="E49" s="26" t="s">
        <v>145</v>
      </c>
      <c r="F49" s="39" t="s">
        <v>377</v>
      </c>
      <c r="G49" s="38" t="s">
        <v>113</v>
      </c>
      <c r="H49" s="41"/>
      <c r="I49" s="26" t="s">
        <v>378</v>
      </c>
      <c r="J49" s="11"/>
      <c r="K49" s="9" t="s">
        <v>379</v>
      </c>
      <c r="L49" s="9" t="s">
        <v>380</v>
      </c>
      <c r="M49" s="40" t="s">
        <v>381</v>
      </c>
      <c r="N49" s="40" t="s">
        <v>382</v>
      </c>
      <c r="O49" s="34" t="s">
        <v>383</v>
      </c>
      <c r="P49" s="40" t="s">
        <v>384</v>
      </c>
      <c r="Q49" s="26" t="s">
        <v>385</v>
      </c>
      <c r="R49" s="26" t="s">
        <v>386</v>
      </c>
      <c r="S49" s="26" t="s">
        <v>124</v>
      </c>
    </row>
    <row r="50" ht="15" spans="1:19">
      <c r="A50" s="25"/>
      <c r="B50" s="38" t="s">
        <v>387</v>
      </c>
      <c r="C50" s="38" t="s">
        <v>387</v>
      </c>
      <c r="D50" s="26" t="s">
        <v>132</v>
      </c>
      <c r="E50" s="26" t="s">
        <v>146</v>
      </c>
      <c r="F50" s="26"/>
      <c r="G50" s="38" t="s">
        <v>40</v>
      </c>
      <c r="H50" s="41"/>
      <c r="I50" s="26" t="s">
        <v>388</v>
      </c>
      <c r="J50" s="11"/>
      <c r="K50" s="9" t="s">
        <v>389</v>
      </c>
      <c r="L50" s="9" t="s">
        <v>390</v>
      </c>
      <c r="M50" s="40" t="s">
        <v>391</v>
      </c>
      <c r="N50" s="40" t="s">
        <v>392</v>
      </c>
      <c r="O50" s="34" t="s">
        <v>393</v>
      </c>
      <c r="P50" s="40"/>
      <c r="Q50" s="26" t="s">
        <v>394</v>
      </c>
      <c r="R50" s="26" t="s">
        <v>395</v>
      </c>
      <c r="S50" s="26"/>
    </row>
    <row r="51" ht="15" spans="1:19">
      <c r="A51" s="25"/>
      <c r="B51" s="38" t="s">
        <v>396</v>
      </c>
      <c r="C51" s="38" t="s">
        <v>396</v>
      </c>
      <c r="D51" s="26" t="s">
        <v>134</v>
      </c>
      <c r="E51" s="26" t="s">
        <v>147</v>
      </c>
      <c r="F51" s="26"/>
      <c r="G51" s="38" t="s">
        <v>117</v>
      </c>
      <c r="H51" s="41"/>
      <c r="I51" s="26" t="s">
        <v>397</v>
      </c>
      <c r="J51" s="11"/>
      <c r="K51" s="9" t="s">
        <v>398</v>
      </c>
      <c r="L51" s="9" t="s">
        <v>399</v>
      </c>
      <c r="M51" s="40" t="s">
        <v>400</v>
      </c>
      <c r="N51" s="40" t="s">
        <v>401</v>
      </c>
      <c r="O51" s="34" t="s">
        <v>402</v>
      </c>
      <c r="P51" s="40"/>
      <c r="Q51" s="26" t="s">
        <v>403</v>
      </c>
      <c r="R51" s="29" t="s">
        <v>404</v>
      </c>
      <c r="S51" s="26"/>
    </row>
    <row r="52" ht="15" spans="1:19">
      <c r="A52" s="25"/>
      <c r="B52" s="41"/>
      <c r="C52" s="41"/>
      <c r="D52" s="26"/>
      <c r="E52" s="26"/>
      <c r="F52" s="26"/>
      <c r="G52" s="26" t="s">
        <v>118</v>
      </c>
      <c r="H52" s="41"/>
      <c r="I52" s="41"/>
      <c r="J52" s="11"/>
      <c r="K52" s="9" t="s">
        <v>405</v>
      </c>
      <c r="L52" s="42"/>
      <c r="M52" s="40" t="s">
        <v>406</v>
      </c>
      <c r="N52" s="42"/>
      <c r="O52" s="42"/>
      <c r="P52" s="42"/>
      <c r="Q52" s="22"/>
      <c r="R52" s="29" t="s">
        <v>407</v>
      </c>
      <c r="S52" s="9"/>
    </row>
    <row r="53" ht="14.4" spans="1:19">
      <c r="A53" s="25"/>
      <c r="B53" s="41"/>
      <c r="C53" s="41"/>
      <c r="D53" s="26"/>
      <c r="E53" s="26"/>
      <c r="F53" s="26"/>
      <c r="G53" s="26" t="s">
        <v>119</v>
      </c>
      <c r="H53" s="41"/>
      <c r="I53" s="41"/>
      <c r="J53" s="42"/>
      <c r="K53" s="9" t="s">
        <v>408</v>
      </c>
      <c r="L53" s="42"/>
      <c r="M53" s="40" t="s">
        <v>409</v>
      </c>
      <c r="N53" s="42"/>
      <c r="O53" s="42"/>
      <c r="P53" s="42"/>
      <c r="Q53" s="22"/>
      <c r="R53" s="29" t="s">
        <v>410</v>
      </c>
      <c r="S53" s="9"/>
    </row>
    <row r="54" ht="14.4" spans="1:19">
      <c r="A54" s="25"/>
      <c r="B54" s="41"/>
      <c r="C54" s="41"/>
      <c r="D54" s="26"/>
      <c r="E54" s="26"/>
      <c r="F54" s="26"/>
      <c r="G54" s="41"/>
      <c r="H54" s="41"/>
      <c r="I54" s="41"/>
      <c r="J54" s="42"/>
      <c r="K54" s="9" t="s">
        <v>411</v>
      </c>
      <c r="L54" s="42"/>
      <c r="M54" s="40" t="s">
        <v>412</v>
      </c>
      <c r="N54" s="42"/>
      <c r="O54" s="42"/>
      <c r="P54" s="42"/>
      <c r="Q54" s="22"/>
      <c r="R54" s="29" t="s">
        <v>413</v>
      </c>
      <c r="S54" s="9"/>
    </row>
    <row r="55" ht="14.4" spans="1:19">
      <c r="A55" s="25"/>
      <c r="B55" s="41"/>
      <c r="C55" s="41"/>
      <c r="D55" s="26"/>
      <c r="E55" s="26"/>
      <c r="F55" s="26"/>
      <c r="G55" s="41"/>
      <c r="H55" s="41"/>
      <c r="I55" s="41"/>
      <c r="J55" s="42"/>
      <c r="K55" s="9" t="s">
        <v>414</v>
      </c>
      <c r="L55" s="42"/>
      <c r="M55" s="40" t="s">
        <v>415</v>
      </c>
      <c r="N55" s="42"/>
      <c r="O55" s="42"/>
      <c r="P55" s="42"/>
      <c r="Q55" s="22"/>
      <c r="R55" s="29" t="s">
        <v>416</v>
      </c>
      <c r="S55" s="9"/>
    </row>
    <row r="56" ht="14.4" spans="1:19">
      <c r="A56" s="25"/>
      <c r="B56" s="41"/>
      <c r="C56" s="41"/>
      <c r="D56" s="26"/>
      <c r="E56" s="26"/>
      <c r="F56" s="26"/>
      <c r="G56" s="41"/>
      <c r="H56" s="41"/>
      <c r="I56" s="41"/>
      <c r="J56" s="42"/>
      <c r="K56" s="9" t="s">
        <v>417</v>
      </c>
      <c r="L56" s="42"/>
      <c r="M56" s="40" t="s">
        <v>418</v>
      </c>
      <c r="N56" s="42"/>
      <c r="O56" s="42"/>
      <c r="P56" s="42"/>
      <c r="Q56" s="22"/>
      <c r="R56" s="9"/>
      <c r="S56" s="9"/>
    </row>
    <row r="57" ht="14.4" spans="1:19">
      <c r="A57" s="25"/>
      <c r="B57" s="41"/>
      <c r="C57" s="41"/>
      <c r="D57" s="26"/>
      <c r="E57" s="26"/>
      <c r="F57" s="26"/>
      <c r="G57" s="41"/>
      <c r="H57" s="41"/>
      <c r="I57" s="41"/>
      <c r="J57" s="42"/>
      <c r="K57" s="42"/>
      <c r="L57" s="42"/>
      <c r="M57" s="40" t="s">
        <v>419</v>
      </c>
      <c r="N57" s="42"/>
      <c r="O57" s="42"/>
      <c r="P57" s="42"/>
      <c r="Q57" s="22"/>
      <c r="R57" s="9"/>
      <c r="S57" s="9"/>
    </row>
    <row r="58" ht="14.4" spans="1:19">
      <c r="A58" s="25"/>
      <c r="B58" s="41"/>
      <c r="C58" s="41"/>
      <c r="D58" s="26"/>
      <c r="E58" s="26"/>
      <c r="F58" s="26"/>
      <c r="G58" s="41"/>
      <c r="H58" s="41"/>
      <c r="I58" s="41"/>
      <c r="J58" s="42"/>
      <c r="K58" s="42"/>
      <c r="L58" s="42"/>
      <c r="M58" s="40" t="s">
        <v>412</v>
      </c>
      <c r="N58" s="42"/>
      <c r="O58" s="42"/>
      <c r="P58" s="42"/>
      <c r="Q58" s="9"/>
      <c r="R58" s="9"/>
      <c r="S58" s="9"/>
    </row>
    <row r="59" ht="14.4" spans="1:19">
      <c r="A59" s="25"/>
      <c r="B59" s="41"/>
      <c r="C59" s="41"/>
      <c r="D59" s="26"/>
      <c r="E59" s="26"/>
      <c r="F59" s="26"/>
      <c r="G59" s="41"/>
      <c r="H59" s="41"/>
      <c r="I59" s="41"/>
      <c r="J59" s="42"/>
      <c r="K59" s="42"/>
      <c r="L59" s="42"/>
      <c r="M59" s="40" t="s">
        <v>418</v>
      </c>
      <c r="N59" s="42"/>
      <c r="O59" s="42"/>
      <c r="P59" s="42"/>
      <c r="Q59" s="9"/>
      <c r="R59" s="9"/>
      <c r="S59" s="9"/>
    </row>
    <row r="60" ht="14.4" spans="1:19">
      <c r="A60" s="25"/>
      <c r="B60" s="41"/>
      <c r="C60" s="41"/>
      <c r="D60" s="26"/>
      <c r="E60" s="26"/>
      <c r="F60" s="26"/>
      <c r="G60" s="41"/>
      <c r="H60" s="41"/>
      <c r="I60" s="41"/>
      <c r="J60" s="42"/>
      <c r="K60" s="42"/>
      <c r="L60" s="42"/>
      <c r="M60" s="40" t="s">
        <v>420</v>
      </c>
      <c r="N60" s="42"/>
      <c r="O60" s="42"/>
      <c r="P60" s="42"/>
      <c r="Q60" s="9"/>
      <c r="R60" s="9"/>
      <c r="S60" s="9"/>
    </row>
    <row r="64" ht="14.4" spans="1:19">
      <c r="B64" s="32" t="s">
        <v>4</v>
      </c>
      <c r="D64" s="1" t="s">
        <v>105</v>
      </c>
    </row>
    <row r="65" ht="14.4" spans="2:9">
      <c r="B65" s="32" t="s">
        <v>421</v>
      </c>
      <c r="D65" s="1" t="s">
        <v>138</v>
      </c>
    </row>
    <row r="66" ht="14.4" spans="2:9">
      <c r="B66" s="32" t="s">
        <v>422</v>
      </c>
      <c r="D66" s="1" t="s">
        <v>99</v>
      </c>
      <c r="I66" s="22"/>
    </row>
    <row r="67" ht="14.4" spans="2:9">
      <c r="B67" s="32" t="s">
        <v>423</v>
      </c>
      <c r="D67" s="2" t="s">
        <v>424</v>
      </c>
    </row>
    <row r="73" spans="2:9">
      <c r="H73" s="43"/>
    </row>
  </sheetData>
  <mergeCells count="3">
    <mergeCell ref="A2:A11"/>
    <mergeCell ref="A15:A33"/>
    <mergeCell ref="A46:A60"/>
  </mergeCells>
  <dataValidations count="1">
    <dataValidation type="list" allowBlank="1" showInputMessage="1" showErrorMessage="1" sqref="B45:D45 G45 I45 K45:M45 O45:P45 I66 Q52:Q57">
      <formula1>空调配置选型表!$Q$14</formula1>
    </dataValidation>
  </dataValidation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59"/>
  <sheetViews>
    <sheetView zoomScale="130" zoomScaleNormal="130" topLeftCell="A124" workbookViewId="0">
      <selection activeCell="A27" sqref="A27:J27"/>
    </sheetView>
  </sheetViews>
  <sheetFormatPr defaultColWidth="9" defaultRowHeight="13.8"/>
  <cols>
    <col min="1" max="1" width="26.25" style="1" customWidth="1"/>
    <col min="2" max="2" width="19.25" style="1" customWidth="1"/>
    <col min="3" max="4" width="7.37962962962963" style="1" customWidth="1"/>
    <col min="5" max="5" width="11.25" style="1" customWidth="1"/>
  </cols>
  <sheetData>
    <row r="1" ht="15.6" spans="1:12">
      <c r="A1" s="13" t="s">
        <v>52</v>
      </c>
      <c r="B1" s="13" t="s">
        <v>31</v>
      </c>
      <c r="C1" s="13" t="s">
        <v>22</v>
      </c>
      <c r="D1" s="13" t="s">
        <v>20</v>
      </c>
      <c r="E1" s="14" t="s">
        <v>425</v>
      </c>
    </row>
    <row r="2" ht="15.6" spans="1:12">
      <c r="A2" s="15" t="s">
        <v>189</v>
      </c>
      <c r="B2" s="13" t="s">
        <v>169</v>
      </c>
      <c r="C2" s="16">
        <v>2.2</v>
      </c>
      <c r="D2" s="16" t="s">
        <v>426</v>
      </c>
      <c r="E2" s="1" t="s">
        <v>427</v>
      </c>
      <c r="H2" s="17">
        <v>2200</v>
      </c>
      <c r="I2" s="17">
        <v>2500</v>
      </c>
    </row>
    <row r="3" ht="15.6" spans="1:12">
      <c r="A3" s="15" t="s">
        <v>207</v>
      </c>
      <c r="B3" s="13" t="s">
        <v>169</v>
      </c>
      <c r="C3" s="16">
        <v>2.8</v>
      </c>
      <c r="D3" s="16" t="s">
        <v>428</v>
      </c>
      <c r="E3" s="1" t="s">
        <v>427</v>
      </c>
      <c r="H3" s="17">
        <v>2800</v>
      </c>
      <c r="I3" s="17">
        <v>3200</v>
      </c>
    </row>
    <row r="4" ht="15.6" spans="1:12">
      <c r="A4" s="15" t="s">
        <v>222</v>
      </c>
      <c r="B4" s="13" t="s">
        <v>169</v>
      </c>
      <c r="C4" s="16">
        <v>3.6</v>
      </c>
      <c r="D4" s="16" t="s">
        <v>429</v>
      </c>
      <c r="E4" s="1" t="s">
        <v>427</v>
      </c>
      <c r="H4" s="17">
        <v>3600</v>
      </c>
      <c r="I4" s="17">
        <v>4000</v>
      </c>
    </row>
    <row r="5" ht="15.6" spans="1:12">
      <c r="A5" s="15" t="s">
        <v>237</v>
      </c>
      <c r="B5" s="13" t="s">
        <v>169</v>
      </c>
      <c r="C5" s="16">
        <v>4.5</v>
      </c>
      <c r="D5" s="16" t="s">
        <v>430</v>
      </c>
      <c r="E5" s="1" t="s">
        <v>427</v>
      </c>
      <c r="H5" s="17">
        <v>4500</v>
      </c>
      <c r="I5" s="17">
        <v>5000</v>
      </c>
    </row>
    <row r="6" ht="15.6" spans="1:12">
      <c r="A6" s="15" t="s">
        <v>252</v>
      </c>
      <c r="B6" s="13" t="s">
        <v>169</v>
      </c>
      <c r="C6" s="16">
        <v>5.6</v>
      </c>
      <c r="D6" s="16" t="s">
        <v>431</v>
      </c>
      <c r="E6" s="1" t="s">
        <v>427</v>
      </c>
      <c r="H6" s="17">
        <v>5600</v>
      </c>
      <c r="I6" s="17">
        <v>6300</v>
      </c>
    </row>
    <row r="7" ht="15.6" spans="1:12">
      <c r="A7" s="15" t="s">
        <v>267</v>
      </c>
      <c r="B7" s="13" t="s">
        <v>169</v>
      </c>
      <c r="C7" s="16">
        <v>7.1</v>
      </c>
      <c r="D7" s="16" t="s">
        <v>432</v>
      </c>
      <c r="E7" s="1" t="s">
        <v>427</v>
      </c>
      <c r="H7" s="17">
        <v>7100</v>
      </c>
      <c r="I7" s="17">
        <v>8000</v>
      </c>
    </row>
    <row r="8" ht="15.6" spans="1:12">
      <c r="A8" s="15" t="s">
        <v>281</v>
      </c>
      <c r="B8" s="13" t="s">
        <v>169</v>
      </c>
      <c r="C8" s="16">
        <v>8</v>
      </c>
      <c r="D8" s="16" t="s">
        <v>433</v>
      </c>
      <c r="E8" s="1" t="s">
        <v>427</v>
      </c>
      <c r="H8" s="17">
        <v>8000</v>
      </c>
      <c r="I8" s="17">
        <v>9000</v>
      </c>
    </row>
    <row r="9" ht="15.6" spans="1:12">
      <c r="A9" s="18" t="s">
        <v>187</v>
      </c>
      <c r="B9" s="13" t="s">
        <v>179</v>
      </c>
      <c r="C9" s="16">
        <v>2.2</v>
      </c>
      <c r="D9" s="16" t="s">
        <v>426</v>
      </c>
      <c r="E9" s="1" t="s">
        <v>427</v>
      </c>
      <c r="H9" s="19"/>
      <c r="I9" s="19"/>
      <c r="K9" s="20">
        <v>2200</v>
      </c>
      <c r="L9" s="20">
        <v>2500</v>
      </c>
    </row>
    <row r="10" ht="15.6" spans="1:12">
      <c r="A10" s="18" t="s">
        <v>205</v>
      </c>
      <c r="B10" s="13" t="s">
        <v>179</v>
      </c>
      <c r="C10" s="16">
        <v>2.8</v>
      </c>
      <c r="D10" s="16" t="s">
        <v>428</v>
      </c>
      <c r="E10" s="1" t="s">
        <v>427</v>
      </c>
      <c r="H10" s="19"/>
      <c r="I10" s="19"/>
      <c r="K10" s="20">
        <v>2800</v>
      </c>
      <c r="L10" s="20">
        <v>3200</v>
      </c>
    </row>
    <row r="11" ht="15.6" spans="1:12">
      <c r="A11" s="18" t="s">
        <v>220</v>
      </c>
      <c r="B11" s="13" t="s">
        <v>179</v>
      </c>
      <c r="C11" s="16">
        <v>3.6</v>
      </c>
      <c r="D11" s="16" t="s">
        <v>429</v>
      </c>
      <c r="E11" s="1" t="s">
        <v>427</v>
      </c>
      <c r="H11" s="19"/>
      <c r="I11" s="19"/>
      <c r="K11" s="20">
        <v>3600</v>
      </c>
      <c r="L11" s="20">
        <v>4000</v>
      </c>
    </row>
    <row r="12" ht="15.6" spans="1:12">
      <c r="A12" s="18" t="s">
        <v>235</v>
      </c>
      <c r="B12" s="13" t="s">
        <v>179</v>
      </c>
      <c r="C12" s="16">
        <v>4.2</v>
      </c>
      <c r="D12" s="16" t="s">
        <v>430</v>
      </c>
      <c r="E12" s="1" t="s">
        <v>427</v>
      </c>
      <c r="H12" s="19"/>
      <c r="I12" s="19"/>
      <c r="K12" s="20">
        <v>4200</v>
      </c>
      <c r="L12" s="20">
        <v>4800</v>
      </c>
    </row>
    <row r="13" ht="15.6" spans="1:12">
      <c r="A13" s="18" t="s">
        <v>434</v>
      </c>
      <c r="B13" s="13" t="s">
        <v>179</v>
      </c>
      <c r="C13" s="16"/>
      <c r="D13" s="16">
        <f t="shared" ref="D13" si="0">C13/2.5</f>
        <v>0</v>
      </c>
      <c r="E13" s="1" t="s">
        <v>427</v>
      </c>
      <c r="H13" s="19"/>
      <c r="I13" s="19"/>
      <c r="K13" s="20">
        <v>7100</v>
      </c>
      <c r="L13" s="20">
        <v>8000</v>
      </c>
    </row>
    <row r="14" ht="15.6" spans="1:12">
      <c r="A14" s="18" t="s">
        <v>250</v>
      </c>
      <c r="B14" s="13" t="s">
        <v>179</v>
      </c>
      <c r="C14" s="16">
        <v>7.1</v>
      </c>
      <c r="D14" s="16" t="s">
        <v>432</v>
      </c>
      <c r="E14" s="1" t="s">
        <v>427</v>
      </c>
      <c r="H14" s="19"/>
      <c r="I14" s="19"/>
      <c r="K14" s="20">
        <v>8000</v>
      </c>
      <c r="L14" s="20">
        <v>9000</v>
      </c>
    </row>
    <row r="15" ht="15.6" spans="1:12">
      <c r="A15" s="18" t="s">
        <v>265</v>
      </c>
      <c r="B15" s="13" t="s">
        <v>179</v>
      </c>
      <c r="C15" s="16">
        <v>8</v>
      </c>
      <c r="D15" s="16" t="s">
        <v>433</v>
      </c>
      <c r="E15" s="1" t="s">
        <v>427</v>
      </c>
      <c r="H15" s="19"/>
      <c r="I15" s="19"/>
    </row>
    <row r="16" spans="1:12">
      <c r="A16" s="16" t="s">
        <v>185</v>
      </c>
      <c r="B16" s="16" t="s">
        <v>166</v>
      </c>
      <c r="C16" s="16">
        <v>2.2</v>
      </c>
      <c r="D16" s="16" t="s">
        <v>426</v>
      </c>
      <c r="E16" s="1" t="s">
        <v>435</v>
      </c>
      <c r="H16" t="s">
        <v>185</v>
      </c>
    </row>
    <row r="17" spans="1:8">
      <c r="A17" s="16" t="s">
        <v>203</v>
      </c>
      <c r="B17" s="16" t="s">
        <v>166</v>
      </c>
      <c r="C17" s="16">
        <v>2.8</v>
      </c>
      <c r="D17" s="16" t="s">
        <v>428</v>
      </c>
      <c r="E17" s="1" t="s">
        <v>435</v>
      </c>
      <c r="H17" t="s">
        <v>203</v>
      </c>
    </row>
    <row r="18" spans="1:8">
      <c r="A18" s="16" t="s">
        <v>218</v>
      </c>
      <c r="B18" s="16" t="s">
        <v>166</v>
      </c>
      <c r="C18" s="16">
        <v>3.6</v>
      </c>
      <c r="D18" s="16" t="s">
        <v>429</v>
      </c>
      <c r="E18" s="1" t="s">
        <v>435</v>
      </c>
      <c r="H18" t="s">
        <v>218</v>
      </c>
    </row>
    <row r="19" spans="1:8">
      <c r="A19" s="16" t="s">
        <v>233</v>
      </c>
      <c r="B19" s="16" t="s">
        <v>166</v>
      </c>
      <c r="C19" s="16">
        <v>4.5</v>
      </c>
      <c r="D19" s="16" t="s">
        <v>430</v>
      </c>
      <c r="E19" s="1" t="s">
        <v>435</v>
      </c>
      <c r="H19" t="s">
        <v>233</v>
      </c>
    </row>
    <row r="20" spans="1:8">
      <c r="A20" s="16" t="s">
        <v>248</v>
      </c>
      <c r="B20" s="16" t="s">
        <v>166</v>
      </c>
      <c r="C20" s="16">
        <v>5.6</v>
      </c>
      <c r="D20" s="16" t="s">
        <v>431</v>
      </c>
      <c r="E20" s="1" t="s">
        <v>435</v>
      </c>
      <c r="H20" t="s">
        <v>248</v>
      </c>
    </row>
    <row r="21" spans="1:8">
      <c r="A21" s="16" t="s">
        <v>263</v>
      </c>
      <c r="B21" s="16" t="s">
        <v>166</v>
      </c>
      <c r="C21" s="16">
        <v>7.1</v>
      </c>
      <c r="D21" s="16" t="s">
        <v>432</v>
      </c>
      <c r="E21" s="1" t="s">
        <v>435</v>
      </c>
      <c r="H21" t="s">
        <v>263</v>
      </c>
    </row>
    <row r="22" spans="1:8">
      <c r="A22" s="16" t="s">
        <v>278</v>
      </c>
      <c r="B22" s="16" t="s">
        <v>166</v>
      </c>
      <c r="C22" s="16">
        <v>8</v>
      </c>
      <c r="D22" s="16" t="s">
        <v>433</v>
      </c>
      <c r="E22" s="1" t="s">
        <v>435</v>
      </c>
      <c r="H22" t="s">
        <v>278</v>
      </c>
    </row>
    <row r="23" spans="1:8">
      <c r="A23" s="16" t="s">
        <v>287</v>
      </c>
      <c r="B23" s="16" t="s">
        <v>166</v>
      </c>
      <c r="C23" s="16">
        <v>2.2</v>
      </c>
      <c r="D23" s="16" t="s">
        <v>426</v>
      </c>
      <c r="E23" s="1" t="s">
        <v>427</v>
      </c>
      <c r="H23" t="s">
        <v>287</v>
      </c>
    </row>
    <row r="24" spans="1:8">
      <c r="A24" s="16" t="s">
        <v>293</v>
      </c>
      <c r="B24" s="16" t="s">
        <v>166</v>
      </c>
      <c r="C24" s="16">
        <v>2.8</v>
      </c>
      <c r="D24" s="16" t="s">
        <v>428</v>
      </c>
      <c r="E24" s="1" t="s">
        <v>427</v>
      </c>
      <c r="H24" t="s">
        <v>293</v>
      </c>
    </row>
    <row r="25" spans="1:8">
      <c r="A25" s="16" t="s">
        <v>298</v>
      </c>
      <c r="B25" s="16" t="s">
        <v>166</v>
      </c>
      <c r="C25" s="16">
        <v>3.6</v>
      </c>
      <c r="D25" s="16" t="s">
        <v>429</v>
      </c>
      <c r="E25" s="1" t="s">
        <v>427</v>
      </c>
      <c r="H25" t="s">
        <v>298</v>
      </c>
    </row>
    <row r="26" spans="1:8">
      <c r="A26" s="16" t="s">
        <v>304</v>
      </c>
      <c r="B26" s="16" t="s">
        <v>166</v>
      </c>
      <c r="C26" s="16">
        <v>4.5</v>
      </c>
      <c r="D26" s="16" t="s">
        <v>430</v>
      </c>
      <c r="E26" s="1" t="s">
        <v>427</v>
      </c>
      <c r="H26" t="s">
        <v>304</v>
      </c>
    </row>
    <row r="27" spans="1:8">
      <c r="A27" s="16" t="s">
        <v>309</v>
      </c>
      <c r="B27" s="16" t="s">
        <v>166</v>
      </c>
      <c r="C27" s="16">
        <v>5.6</v>
      </c>
      <c r="D27" s="16" t="s">
        <v>431</v>
      </c>
      <c r="E27" s="1" t="s">
        <v>427</v>
      </c>
      <c r="H27" t="s">
        <v>309</v>
      </c>
    </row>
    <row r="28" spans="1:8">
      <c r="A28" s="16" t="s">
        <v>314</v>
      </c>
      <c r="B28" s="16" t="s">
        <v>166</v>
      </c>
      <c r="C28" s="16">
        <v>7.1</v>
      </c>
      <c r="D28" s="16" t="s">
        <v>432</v>
      </c>
      <c r="E28" s="1" t="s">
        <v>427</v>
      </c>
      <c r="H28" t="s">
        <v>314</v>
      </c>
    </row>
    <row r="29" spans="1:8">
      <c r="A29" s="16" t="s">
        <v>318</v>
      </c>
      <c r="B29" s="16" t="s">
        <v>166</v>
      </c>
      <c r="C29" s="16">
        <v>8</v>
      </c>
      <c r="D29" s="16" t="s">
        <v>433</v>
      </c>
      <c r="E29" s="1" t="s">
        <v>427</v>
      </c>
      <c r="H29" t="s">
        <v>318</v>
      </c>
    </row>
    <row r="30" spans="1:8">
      <c r="A30" s="16" t="s">
        <v>186</v>
      </c>
      <c r="B30" s="21" t="s">
        <v>39</v>
      </c>
      <c r="C30" s="16">
        <v>2.2</v>
      </c>
      <c r="D30" s="16" t="s">
        <v>426</v>
      </c>
      <c r="E30" s="1" t="s">
        <v>427</v>
      </c>
    </row>
    <row r="31" spans="1:8">
      <c r="A31" s="16" t="s">
        <v>204</v>
      </c>
      <c r="B31" s="21" t="s">
        <v>39</v>
      </c>
      <c r="C31" s="16">
        <v>2.8</v>
      </c>
      <c r="D31" s="16" t="s">
        <v>428</v>
      </c>
      <c r="E31" s="1" t="s">
        <v>427</v>
      </c>
    </row>
    <row r="32" spans="1:8">
      <c r="A32" s="16" t="s">
        <v>219</v>
      </c>
      <c r="B32" s="21" t="s">
        <v>39</v>
      </c>
      <c r="C32" s="16">
        <v>3.6</v>
      </c>
      <c r="D32" s="16" t="s">
        <v>429</v>
      </c>
      <c r="E32" s="1" t="s">
        <v>427</v>
      </c>
    </row>
    <row r="33" spans="1:5">
      <c r="A33" s="16" t="s">
        <v>234</v>
      </c>
      <c r="B33" s="21" t="s">
        <v>39</v>
      </c>
      <c r="C33" s="16">
        <v>4.5</v>
      </c>
      <c r="D33" s="16" t="s">
        <v>430</v>
      </c>
      <c r="E33" s="1" t="s">
        <v>427</v>
      </c>
    </row>
    <row r="34" spans="1:5">
      <c r="A34" s="16" t="s">
        <v>249</v>
      </c>
      <c r="B34" s="21" t="s">
        <v>39</v>
      </c>
      <c r="C34" s="16">
        <v>5.6</v>
      </c>
      <c r="D34" s="16" t="s">
        <v>431</v>
      </c>
      <c r="E34" s="1" t="s">
        <v>427</v>
      </c>
    </row>
    <row r="35" spans="1:5">
      <c r="A35" s="16" t="s">
        <v>264</v>
      </c>
      <c r="B35" s="21" t="s">
        <v>39</v>
      </c>
      <c r="C35" s="16">
        <v>7.1</v>
      </c>
      <c r="D35" s="16" t="s">
        <v>432</v>
      </c>
      <c r="E35" s="1" t="s">
        <v>427</v>
      </c>
    </row>
    <row r="36" spans="1:5">
      <c r="A36" s="16" t="s">
        <v>279</v>
      </c>
      <c r="B36" s="21" t="s">
        <v>39</v>
      </c>
      <c r="C36" s="16">
        <v>8</v>
      </c>
      <c r="D36" s="16" t="s">
        <v>433</v>
      </c>
      <c r="E36" s="1" t="s">
        <v>427</v>
      </c>
    </row>
    <row r="37" spans="1:5">
      <c r="A37" s="16" t="s">
        <v>288</v>
      </c>
      <c r="B37" s="21" t="s">
        <v>39</v>
      </c>
      <c r="C37" s="16">
        <v>2.2</v>
      </c>
      <c r="D37" s="16" t="s">
        <v>426</v>
      </c>
      <c r="E37" s="1" t="s">
        <v>435</v>
      </c>
    </row>
    <row r="38" spans="1:5">
      <c r="A38" s="16" t="s">
        <v>43</v>
      </c>
      <c r="B38" s="21" t="s">
        <v>39</v>
      </c>
      <c r="C38" s="16">
        <v>2.8</v>
      </c>
      <c r="D38" s="16" t="s">
        <v>428</v>
      </c>
      <c r="E38" s="1" t="s">
        <v>435</v>
      </c>
    </row>
    <row r="39" spans="1:5">
      <c r="A39" s="16" t="s">
        <v>299</v>
      </c>
      <c r="B39" s="21" t="s">
        <v>39</v>
      </c>
      <c r="C39" s="16">
        <v>3.6</v>
      </c>
      <c r="D39" s="16" t="s">
        <v>429</v>
      </c>
      <c r="E39" s="1" t="s">
        <v>435</v>
      </c>
    </row>
    <row r="40" spans="1:5">
      <c r="A40" s="16" t="s">
        <v>41</v>
      </c>
      <c r="B40" s="21" t="s">
        <v>39</v>
      </c>
      <c r="C40" s="16">
        <v>4.5</v>
      </c>
      <c r="D40" s="16" t="s">
        <v>430</v>
      </c>
      <c r="E40" s="1" t="s">
        <v>435</v>
      </c>
    </row>
    <row r="41" spans="1:5">
      <c r="A41" s="16" t="s">
        <v>61</v>
      </c>
      <c r="B41" s="21" t="s">
        <v>39</v>
      </c>
      <c r="C41" s="16">
        <v>5.6</v>
      </c>
      <c r="D41" s="16" t="s">
        <v>431</v>
      </c>
      <c r="E41" s="1" t="s">
        <v>435</v>
      </c>
    </row>
    <row r="42" spans="1:5">
      <c r="A42" s="16" t="s">
        <v>315</v>
      </c>
      <c r="B42" s="21" t="s">
        <v>39</v>
      </c>
      <c r="C42" s="16">
        <v>7.1</v>
      </c>
      <c r="D42" s="16" t="s">
        <v>432</v>
      </c>
      <c r="E42" s="1" t="s">
        <v>435</v>
      </c>
    </row>
    <row r="43" spans="1:5">
      <c r="A43" s="16" t="s">
        <v>36</v>
      </c>
      <c r="B43" s="21" t="s">
        <v>39</v>
      </c>
      <c r="C43" s="16">
        <v>8</v>
      </c>
      <c r="D43" s="16" t="s">
        <v>433</v>
      </c>
      <c r="E43" s="1" t="s">
        <v>435</v>
      </c>
    </row>
    <row r="44" spans="1:5">
      <c r="A44" s="16" t="s">
        <v>188</v>
      </c>
      <c r="B44" s="16" t="s">
        <v>176</v>
      </c>
      <c r="C44" s="16">
        <v>2.2</v>
      </c>
      <c r="D44" s="16" t="s">
        <v>426</v>
      </c>
      <c r="E44" s="1" t="s">
        <v>427</v>
      </c>
    </row>
    <row r="45" spans="1:5">
      <c r="A45" s="16" t="s">
        <v>206</v>
      </c>
      <c r="B45" s="16" t="s">
        <v>176</v>
      </c>
      <c r="C45" s="16">
        <v>2.8</v>
      </c>
      <c r="D45" s="16" t="s">
        <v>428</v>
      </c>
      <c r="E45" s="1" t="s">
        <v>427</v>
      </c>
    </row>
    <row r="46" spans="1:5">
      <c r="A46" s="16" t="s">
        <v>221</v>
      </c>
      <c r="B46" s="16" t="s">
        <v>176</v>
      </c>
      <c r="C46" s="16">
        <v>3.6</v>
      </c>
      <c r="D46" s="16" t="s">
        <v>429</v>
      </c>
      <c r="E46" s="1" t="s">
        <v>427</v>
      </c>
    </row>
    <row r="47" spans="1:5">
      <c r="A47" s="16" t="s">
        <v>236</v>
      </c>
      <c r="B47" s="16" t="s">
        <v>176</v>
      </c>
      <c r="C47" s="16">
        <v>4.5</v>
      </c>
      <c r="D47" s="16" t="s">
        <v>430</v>
      </c>
      <c r="E47" s="1" t="s">
        <v>427</v>
      </c>
    </row>
    <row r="48" spans="1:5">
      <c r="A48" s="16" t="s">
        <v>251</v>
      </c>
      <c r="B48" s="16" t="s">
        <v>176</v>
      </c>
      <c r="C48" s="16">
        <v>5.6</v>
      </c>
      <c r="D48" s="16" t="s">
        <v>431</v>
      </c>
      <c r="E48" s="1" t="s">
        <v>427</v>
      </c>
    </row>
    <row r="49" spans="1:5">
      <c r="A49" s="16" t="s">
        <v>266</v>
      </c>
      <c r="B49" s="16" t="s">
        <v>176</v>
      </c>
      <c r="C49" s="16">
        <v>7.1</v>
      </c>
      <c r="D49" s="16" t="s">
        <v>432</v>
      </c>
      <c r="E49" s="1" t="s">
        <v>427</v>
      </c>
    </row>
    <row r="50" spans="1:5">
      <c r="A50" s="16" t="s">
        <v>280</v>
      </c>
      <c r="B50" s="16" t="s">
        <v>176</v>
      </c>
      <c r="C50" s="16">
        <v>8</v>
      </c>
      <c r="D50" s="16" t="s">
        <v>433</v>
      </c>
      <c r="E50" s="1" t="s">
        <v>427</v>
      </c>
    </row>
    <row r="51" spans="1:5">
      <c r="A51" s="16" t="s">
        <v>282</v>
      </c>
      <c r="B51" s="16" t="s">
        <v>167</v>
      </c>
      <c r="C51" s="16">
        <v>8</v>
      </c>
      <c r="D51" s="16" t="s">
        <v>433</v>
      </c>
      <c r="E51" s="1" t="s">
        <v>427</v>
      </c>
    </row>
    <row r="52" spans="1:5">
      <c r="A52" s="16" t="s">
        <v>190</v>
      </c>
      <c r="B52" s="16" t="s">
        <v>167</v>
      </c>
      <c r="C52" s="16">
        <v>2.2</v>
      </c>
      <c r="D52" s="16" t="s">
        <v>426</v>
      </c>
      <c r="E52" s="1" t="s">
        <v>427</v>
      </c>
    </row>
    <row r="53" spans="1:5">
      <c r="A53" s="16" t="s">
        <v>208</v>
      </c>
      <c r="B53" s="16" t="s">
        <v>167</v>
      </c>
      <c r="C53" s="16">
        <v>2.8</v>
      </c>
      <c r="D53" s="16" t="s">
        <v>428</v>
      </c>
      <c r="E53" s="1" t="s">
        <v>427</v>
      </c>
    </row>
    <row r="54" spans="1:5">
      <c r="A54" s="16" t="s">
        <v>223</v>
      </c>
      <c r="B54" s="16" t="s">
        <v>167</v>
      </c>
      <c r="C54" s="16">
        <v>3.6</v>
      </c>
      <c r="D54" s="16" t="s">
        <v>429</v>
      </c>
      <c r="E54" s="1" t="s">
        <v>427</v>
      </c>
    </row>
    <row r="55" spans="1:5">
      <c r="A55" s="16" t="s">
        <v>238</v>
      </c>
      <c r="B55" s="16" t="s">
        <v>167</v>
      </c>
      <c r="C55" s="16">
        <v>4.5</v>
      </c>
      <c r="D55" s="16" t="s">
        <v>430</v>
      </c>
      <c r="E55" s="1" t="s">
        <v>427</v>
      </c>
    </row>
    <row r="56" spans="1:5">
      <c r="A56" s="16" t="s">
        <v>253</v>
      </c>
      <c r="B56" s="16" t="s">
        <v>167</v>
      </c>
      <c r="C56" s="16">
        <v>5.6</v>
      </c>
      <c r="D56" s="16" t="s">
        <v>431</v>
      </c>
      <c r="E56" s="1" t="s">
        <v>427</v>
      </c>
    </row>
    <row r="57" spans="1:5">
      <c r="A57" s="16" t="s">
        <v>268</v>
      </c>
      <c r="B57" s="16" t="s">
        <v>167</v>
      </c>
      <c r="C57" s="16">
        <v>7.1</v>
      </c>
      <c r="D57" s="16" t="s">
        <v>432</v>
      </c>
      <c r="E57" s="1" t="s">
        <v>427</v>
      </c>
    </row>
    <row r="58" spans="1:5">
      <c r="A58" s="16" t="s">
        <v>289</v>
      </c>
      <c r="B58" s="16" t="s">
        <v>167</v>
      </c>
      <c r="C58" s="16">
        <v>2.2</v>
      </c>
      <c r="D58" s="16" t="s">
        <v>426</v>
      </c>
      <c r="E58" s="1" t="s">
        <v>435</v>
      </c>
    </row>
    <row r="59" spans="1:5">
      <c r="A59" s="16" t="s">
        <v>294</v>
      </c>
      <c r="B59" s="16" t="s">
        <v>167</v>
      </c>
      <c r="C59" s="16">
        <v>2.8</v>
      </c>
      <c r="D59" s="16" t="s">
        <v>428</v>
      </c>
      <c r="E59" s="1" t="s">
        <v>435</v>
      </c>
    </row>
    <row r="60" spans="1:5">
      <c r="A60" s="16" t="s">
        <v>300</v>
      </c>
      <c r="B60" s="16" t="s">
        <v>167</v>
      </c>
      <c r="C60" s="16">
        <v>3.6</v>
      </c>
      <c r="D60" s="16" t="s">
        <v>429</v>
      </c>
      <c r="E60" s="1" t="s">
        <v>435</v>
      </c>
    </row>
    <row r="61" spans="1:5">
      <c r="A61" s="16" t="s">
        <v>305</v>
      </c>
      <c r="B61" s="16" t="s">
        <v>167</v>
      </c>
      <c r="C61" s="16">
        <v>4.5</v>
      </c>
      <c r="D61" s="16" t="s">
        <v>430</v>
      </c>
      <c r="E61" s="1" t="s">
        <v>435</v>
      </c>
    </row>
    <row r="62" spans="1:5">
      <c r="A62" s="16" t="s">
        <v>310</v>
      </c>
      <c r="B62" s="16" t="s">
        <v>167</v>
      </c>
      <c r="C62" s="16">
        <v>5.6</v>
      </c>
      <c r="D62" s="16" t="s">
        <v>431</v>
      </c>
      <c r="E62" s="1" t="s">
        <v>435</v>
      </c>
    </row>
    <row r="63" spans="1:5">
      <c r="A63" s="16" t="s">
        <v>316</v>
      </c>
      <c r="B63" s="16" t="s">
        <v>167</v>
      </c>
      <c r="C63" s="16">
        <v>7.1</v>
      </c>
      <c r="D63" s="16" t="s">
        <v>432</v>
      </c>
      <c r="E63" s="1" t="s">
        <v>435</v>
      </c>
    </row>
    <row r="64" spans="1:5">
      <c r="A64" s="16" t="s">
        <v>191</v>
      </c>
      <c r="B64" s="16" t="s">
        <v>181</v>
      </c>
      <c r="C64" s="16">
        <v>2.2</v>
      </c>
      <c r="D64" s="16" t="s">
        <v>426</v>
      </c>
      <c r="E64" s="1" t="s">
        <v>435</v>
      </c>
    </row>
    <row r="65" spans="1:5">
      <c r="A65" s="16" t="s">
        <v>209</v>
      </c>
      <c r="B65" s="16" t="s">
        <v>181</v>
      </c>
      <c r="C65" s="16">
        <v>2.8</v>
      </c>
      <c r="D65" s="16" t="s">
        <v>428</v>
      </c>
      <c r="E65" s="1" t="s">
        <v>435</v>
      </c>
    </row>
    <row r="66" spans="1:5">
      <c r="A66" s="16" t="s">
        <v>224</v>
      </c>
      <c r="B66" s="16" t="s">
        <v>181</v>
      </c>
      <c r="C66" s="16">
        <v>3.6</v>
      </c>
      <c r="D66" s="16" t="s">
        <v>429</v>
      </c>
      <c r="E66" s="1" t="s">
        <v>435</v>
      </c>
    </row>
    <row r="67" spans="1:5">
      <c r="A67" s="16" t="s">
        <v>239</v>
      </c>
      <c r="B67" s="16" t="s">
        <v>181</v>
      </c>
      <c r="C67" s="16">
        <v>4.5</v>
      </c>
      <c r="D67" s="16" t="s">
        <v>430</v>
      </c>
      <c r="E67" s="1" t="s">
        <v>435</v>
      </c>
    </row>
    <row r="68" spans="1:5">
      <c r="A68" s="16" t="s">
        <v>254</v>
      </c>
      <c r="B68" s="16" t="s">
        <v>181</v>
      </c>
      <c r="C68" s="16">
        <v>5.6</v>
      </c>
      <c r="D68" s="16" t="s">
        <v>431</v>
      </c>
      <c r="E68" s="1" t="s">
        <v>435</v>
      </c>
    </row>
    <row r="69" spans="1:5">
      <c r="A69" s="16" t="s">
        <v>269</v>
      </c>
      <c r="B69" s="16" t="s">
        <v>181</v>
      </c>
      <c r="C69" s="16">
        <v>7.1</v>
      </c>
      <c r="D69" s="16" t="s">
        <v>432</v>
      </c>
      <c r="E69" s="1" t="s">
        <v>435</v>
      </c>
    </row>
    <row r="70" spans="1:5">
      <c r="A70" s="16" t="s">
        <v>283</v>
      </c>
      <c r="B70" s="16" t="s">
        <v>181</v>
      </c>
      <c r="C70" s="16">
        <v>2.2</v>
      </c>
      <c r="D70" s="16" t="s">
        <v>426</v>
      </c>
      <c r="E70" s="1" t="s">
        <v>427</v>
      </c>
    </row>
    <row r="71" spans="1:5">
      <c r="A71" s="16" t="s">
        <v>290</v>
      </c>
      <c r="B71" s="16" t="s">
        <v>181</v>
      </c>
      <c r="C71" s="16">
        <v>2.8</v>
      </c>
      <c r="D71" s="16" t="s">
        <v>428</v>
      </c>
      <c r="E71" s="1" t="s">
        <v>427</v>
      </c>
    </row>
    <row r="72" spans="1:5">
      <c r="A72" s="16" t="s">
        <v>295</v>
      </c>
      <c r="B72" s="16" t="s">
        <v>181</v>
      </c>
      <c r="C72" s="16">
        <v>3.6</v>
      </c>
      <c r="D72" s="16" t="s">
        <v>429</v>
      </c>
      <c r="E72" s="1" t="s">
        <v>427</v>
      </c>
    </row>
    <row r="73" spans="1:5">
      <c r="A73" s="16" t="s">
        <v>301</v>
      </c>
      <c r="B73" s="16" t="s">
        <v>181</v>
      </c>
      <c r="C73" s="16">
        <v>4.5</v>
      </c>
      <c r="D73" s="16" t="s">
        <v>430</v>
      </c>
      <c r="E73" s="1" t="s">
        <v>427</v>
      </c>
    </row>
    <row r="74" spans="1:5">
      <c r="A74" s="16" t="s">
        <v>306</v>
      </c>
      <c r="B74" s="16" t="s">
        <v>181</v>
      </c>
      <c r="C74" s="16">
        <v>5.6</v>
      </c>
      <c r="D74" s="16" t="s">
        <v>431</v>
      </c>
      <c r="E74" s="1" t="s">
        <v>427</v>
      </c>
    </row>
    <row r="75" spans="1:5">
      <c r="A75" s="16" t="s">
        <v>311</v>
      </c>
      <c r="B75" s="16" t="s">
        <v>181</v>
      </c>
      <c r="C75" s="16">
        <v>7.1</v>
      </c>
      <c r="D75" s="16" t="s">
        <v>432</v>
      </c>
      <c r="E75" s="1" t="s">
        <v>427</v>
      </c>
    </row>
    <row r="76" spans="1:5">
      <c r="A76" s="16" t="s">
        <v>436</v>
      </c>
      <c r="B76" s="16" t="s">
        <v>437</v>
      </c>
      <c r="C76" s="16">
        <v>2.2</v>
      </c>
      <c r="D76" s="16" t="s">
        <v>426</v>
      </c>
      <c r="E76" s="1" t="s">
        <v>427</v>
      </c>
    </row>
    <row r="77" spans="1:5">
      <c r="A77" s="16" t="s">
        <v>438</v>
      </c>
      <c r="B77" s="16" t="s">
        <v>437</v>
      </c>
      <c r="C77" s="16">
        <v>2.8</v>
      </c>
      <c r="D77" s="16" t="s">
        <v>428</v>
      </c>
      <c r="E77" s="1" t="s">
        <v>427</v>
      </c>
    </row>
    <row r="78" spans="1:5">
      <c r="A78" s="16" t="s">
        <v>439</v>
      </c>
      <c r="B78" s="16" t="s">
        <v>437</v>
      </c>
      <c r="C78" s="16">
        <v>3.6</v>
      </c>
      <c r="D78" s="16" t="s">
        <v>429</v>
      </c>
      <c r="E78" s="1" t="s">
        <v>427</v>
      </c>
    </row>
    <row r="79" spans="1:5">
      <c r="A79" s="16" t="s">
        <v>440</v>
      </c>
      <c r="B79" s="16" t="s">
        <v>437</v>
      </c>
      <c r="C79" s="16">
        <v>4.5</v>
      </c>
      <c r="D79" s="16" t="s">
        <v>430</v>
      </c>
      <c r="E79" s="1" t="s">
        <v>427</v>
      </c>
    </row>
    <row r="80" spans="1:5">
      <c r="A80" s="16" t="s">
        <v>441</v>
      </c>
      <c r="B80" s="16" t="s">
        <v>437</v>
      </c>
      <c r="C80" s="16">
        <v>5.6</v>
      </c>
      <c r="D80" s="16" t="s">
        <v>431</v>
      </c>
      <c r="E80" s="1" t="s">
        <v>427</v>
      </c>
    </row>
    <row r="81" spans="1:5">
      <c r="A81" s="16" t="s">
        <v>442</v>
      </c>
      <c r="B81" s="16" t="s">
        <v>437</v>
      </c>
      <c r="C81" s="16">
        <v>7.1</v>
      </c>
      <c r="D81" s="16" t="s">
        <v>432</v>
      </c>
      <c r="E81" s="1" t="s">
        <v>427</v>
      </c>
    </row>
    <row r="82" spans="1:5">
      <c r="A82" s="16" t="s">
        <v>443</v>
      </c>
      <c r="B82" s="16" t="s">
        <v>175</v>
      </c>
      <c r="C82" s="16">
        <v>2.2</v>
      </c>
      <c r="D82" s="16" t="s">
        <v>426</v>
      </c>
      <c r="E82" s="1" t="s">
        <v>435</v>
      </c>
    </row>
    <row r="83" spans="1:5">
      <c r="A83" s="16" t="s">
        <v>444</v>
      </c>
      <c r="B83" s="16" t="s">
        <v>175</v>
      </c>
      <c r="C83" s="16">
        <v>2.8</v>
      </c>
      <c r="D83" s="16" t="s">
        <v>428</v>
      </c>
      <c r="E83" s="1" t="s">
        <v>435</v>
      </c>
    </row>
    <row r="84" spans="1:5">
      <c r="A84" s="16" t="s">
        <v>445</v>
      </c>
      <c r="B84" s="16" t="s">
        <v>175</v>
      </c>
      <c r="C84" s="16">
        <v>3.6</v>
      </c>
      <c r="D84" s="16" t="s">
        <v>429</v>
      </c>
      <c r="E84" s="1" t="s">
        <v>435</v>
      </c>
    </row>
    <row r="85" spans="1:5">
      <c r="A85" s="16" t="s">
        <v>446</v>
      </c>
      <c r="B85" s="16" t="s">
        <v>175</v>
      </c>
      <c r="C85" s="16">
        <v>4.5</v>
      </c>
      <c r="D85" s="16" t="s">
        <v>430</v>
      </c>
      <c r="E85" s="1" t="s">
        <v>435</v>
      </c>
    </row>
    <row r="86" spans="1:5">
      <c r="A86" s="16" t="s">
        <v>447</v>
      </c>
      <c r="B86" s="16" t="s">
        <v>175</v>
      </c>
      <c r="C86" s="16">
        <v>5.6</v>
      </c>
      <c r="D86" s="16" t="s">
        <v>431</v>
      </c>
      <c r="E86" s="1" t="s">
        <v>435</v>
      </c>
    </row>
    <row r="87" spans="1:5">
      <c r="A87" s="16" t="s">
        <v>448</v>
      </c>
      <c r="B87" s="16" t="s">
        <v>175</v>
      </c>
      <c r="C87" s="16">
        <v>7.1</v>
      </c>
      <c r="D87" s="16" t="s">
        <v>432</v>
      </c>
      <c r="E87" s="1" t="s">
        <v>435</v>
      </c>
    </row>
    <row r="88" spans="1:5">
      <c r="A88" s="21" t="s">
        <v>449</v>
      </c>
      <c r="B88" s="16" t="s">
        <v>175</v>
      </c>
      <c r="C88" s="16">
        <v>8</v>
      </c>
      <c r="D88" s="16" t="s">
        <v>433</v>
      </c>
      <c r="E88" s="1" t="s">
        <v>435</v>
      </c>
    </row>
    <row r="89" spans="1:5">
      <c r="A89" s="16" t="s">
        <v>193</v>
      </c>
      <c r="B89" s="16" t="s">
        <v>182</v>
      </c>
      <c r="C89" s="16">
        <v>2.2</v>
      </c>
      <c r="D89" s="16" t="s">
        <v>426</v>
      </c>
      <c r="E89" s="1" t="s">
        <v>435</v>
      </c>
    </row>
    <row r="90" spans="1:5">
      <c r="A90" s="16" t="s">
        <v>210</v>
      </c>
      <c r="B90" s="16" t="s">
        <v>182</v>
      </c>
      <c r="C90" s="16">
        <v>2.8</v>
      </c>
      <c r="D90" s="16" t="s">
        <v>428</v>
      </c>
      <c r="E90" s="1" t="s">
        <v>435</v>
      </c>
    </row>
    <row r="91" spans="1:5">
      <c r="A91" s="16" t="s">
        <v>225</v>
      </c>
      <c r="B91" s="16" t="s">
        <v>182</v>
      </c>
      <c r="C91" s="16">
        <v>3.6</v>
      </c>
      <c r="D91" s="16" t="s">
        <v>429</v>
      </c>
      <c r="E91" s="1" t="s">
        <v>435</v>
      </c>
    </row>
    <row r="92" spans="1:5">
      <c r="A92" s="16" t="s">
        <v>240</v>
      </c>
      <c r="B92" s="16" t="s">
        <v>182</v>
      </c>
      <c r="C92" s="16">
        <v>4.5</v>
      </c>
      <c r="D92" s="16" t="s">
        <v>430</v>
      </c>
      <c r="E92" s="1" t="s">
        <v>435</v>
      </c>
    </row>
    <row r="93" spans="1:5">
      <c r="A93" s="16" t="s">
        <v>255</v>
      </c>
      <c r="B93" s="16" t="s">
        <v>182</v>
      </c>
      <c r="C93" s="16">
        <v>5.6</v>
      </c>
      <c r="D93" s="16" t="s">
        <v>431</v>
      </c>
      <c r="E93" s="1" t="s">
        <v>435</v>
      </c>
    </row>
    <row r="94" spans="1:5">
      <c r="A94" s="16" t="s">
        <v>270</v>
      </c>
      <c r="B94" s="16" t="s">
        <v>182</v>
      </c>
      <c r="C94" s="16">
        <v>7.1</v>
      </c>
      <c r="D94" s="16" t="s">
        <v>432</v>
      </c>
      <c r="E94" s="1" t="s">
        <v>435</v>
      </c>
    </row>
    <row r="95" spans="1:5">
      <c r="A95" s="16" t="s">
        <v>194</v>
      </c>
      <c r="B95" s="16" t="s">
        <v>173</v>
      </c>
      <c r="C95" s="16">
        <v>2.2</v>
      </c>
      <c r="D95" s="16" t="s">
        <v>426</v>
      </c>
      <c r="E95" s="1" t="s">
        <v>435</v>
      </c>
    </row>
    <row r="96" spans="1:5">
      <c r="A96" s="16" t="s">
        <v>211</v>
      </c>
      <c r="B96" s="16" t="s">
        <v>173</v>
      </c>
      <c r="C96" s="16">
        <v>2.8</v>
      </c>
      <c r="D96" s="16" t="s">
        <v>428</v>
      </c>
      <c r="E96" s="1" t="s">
        <v>435</v>
      </c>
    </row>
    <row r="97" spans="1:5">
      <c r="A97" s="16" t="s">
        <v>226</v>
      </c>
      <c r="B97" s="16" t="s">
        <v>173</v>
      </c>
      <c r="C97" s="16">
        <v>3.6</v>
      </c>
      <c r="D97" s="16" t="s">
        <v>429</v>
      </c>
      <c r="E97" s="1" t="s">
        <v>435</v>
      </c>
    </row>
    <row r="98" spans="1:5">
      <c r="A98" s="16" t="s">
        <v>241</v>
      </c>
      <c r="B98" s="16" t="s">
        <v>173</v>
      </c>
      <c r="C98" s="16">
        <v>4.5</v>
      </c>
      <c r="D98" s="16" t="s">
        <v>430</v>
      </c>
      <c r="E98" s="1" t="s">
        <v>435</v>
      </c>
    </row>
    <row r="99" spans="1:5">
      <c r="A99" s="16" t="s">
        <v>256</v>
      </c>
      <c r="B99" s="16" t="s">
        <v>173</v>
      </c>
      <c r="C99" s="16">
        <v>5.6</v>
      </c>
      <c r="D99" s="16" t="s">
        <v>431</v>
      </c>
      <c r="E99" s="1" t="s">
        <v>435</v>
      </c>
    </row>
    <row r="100" spans="1:5">
      <c r="A100" s="16" t="s">
        <v>271</v>
      </c>
      <c r="B100" s="16" t="s">
        <v>173</v>
      </c>
      <c r="C100" s="16">
        <v>7.1</v>
      </c>
      <c r="D100" s="16" t="s">
        <v>432</v>
      </c>
      <c r="E100" s="1" t="s">
        <v>435</v>
      </c>
    </row>
    <row r="101" spans="1:5">
      <c r="A101" s="16" t="s">
        <v>284</v>
      </c>
      <c r="B101" s="16" t="s">
        <v>173</v>
      </c>
      <c r="C101" s="16">
        <v>2.2</v>
      </c>
      <c r="D101" s="16" t="s">
        <v>426</v>
      </c>
      <c r="E101" s="1" t="s">
        <v>427</v>
      </c>
    </row>
    <row r="102" spans="1:5">
      <c r="A102" s="16" t="s">
        <v>291</v>
      </c>
      <c r="B102" s="16" t="s">
        <v>173</v>
      </c>
      <c r="C102" s="16">
        <v>2.8</v>
      </c>
      <c r="D102" s="16" t="s">
        <v>428</v>
      </c>
      <c r="E102" s="1" t="s">
        <v>427</v>
      </c>
    </row>
    <row r="103" spans="1:5">
      <c r="A103" s="16" t="s">
        <v>296</v>
      </c>
      <c r="B103" s="16" t="s">
        <v>173</v>
      </c>
      <c r="C103" s="16">
        <v>3.6</v>
      </c>
      <c r="D103" s="16" t="s">
        <v>429</v>
      </c>
      <c r="E103" s="1" t="s">
        <v>427</v>
      </c>
    </row>
    <row r="104" spans="1:5">
      <c r="A104" s="16" t="s">
        <v>302</v>
      </c>
      <c r="B104" s="16" t="s">
        <v>173</v>
      </c>
      <c r="C104" s="16">
        <v>4.5</v>
      </c>
      <c r="D104" s="16" t="s">
        <v>430</v>
      </c>
      <c r="E104" s="1" t="s">
        <v>427</v>
      </c>
    </row>
    <row r="105" spans="1:5">
      <c r="A105" s="16" t="s">
        <v>307</v>
      </c>
      <c r="B105" s="16" t="s">
        <v>173</v>
      </c>
      <c r="C105" s="16">
        <v>5.6</v>
      </c>
      <c r="D105" s="16" t="s">
        <v>431</v>
      </c>
      <c r="E105" s="1" t="s">
        <v>427</v>
      </c>
    </row>
    <row r="106" spans="1:5">
      <c r="A106" s="16" t="s">
        <v>312</v>
      </c>
      <c r="B106" s="16" t="s">
        <v>173</v>
      </c>
      <c r="C106" s="16">
        <v>7.1</v>
      </c>
      <c r="D106" s="16" t="s">
        <v>432</v>
      </c>
      <c r="E106" s="1" t="s">
        <v>427</v>
      </c>
    </row>
    <row r="107" spans="1:5">
      <c r="A107" s="16" t="s">
        <v>317</v>
      </c>
      <c r="B107" s="16" t="s">
        <v>173</v>
      </c>
      <c r="C107" s="16">
        <v>2.2</v>
      </c>
      <c r="D107" s="16" t="s">
        <v>426</v>
      </c>
      <c r="E107" s="1" t="s">
        <v>427</v>
      </c>
    </row>
    <row r="108" spans="1:5">
      <c r="A108" s="16" t="s">
        <v>319</v>
      </c>
      <c r="B108" s="16" t="s">
        <v>173</v>
      </c>
      <c r="C108" s="16">
        <v>2.8</v>
      </c>
      <c r="D108" s="16" t="s">
        <v>428</v>
      </c>
      <c r="E108" s="1" t="s">
        <v>427</v>
      </c>
    </row>
    <row r="109" spans="1:5">
      <c r="A109" s="16" t="s">
        <v>320</v>
      </c>
      <c r="B109" s="16" t="s">
        <v>173</v>
      </c>
      <c r="C109" s="16">
        <v>3.6</v>
      </c>
      <c r="D109" s="16" t="s">
        <v>429</v>
      </c>
      <c r="E109" s="1" t="s">
        <v>427</v>
      </c>
    </row>
    <row r="110" spans="1:5">
      <c r="A110" s="16" t="s">
        <v>321</v>
      </c>
      <c r="B110" s="16" t="s">
        <v>173</v>
      </c>
      <c r="C110" s="16">
        <v>4.5</v>
      </c>
      <c r="D110" s="16" t="s">
        <v>430</v>
      </c>
      <c r="E110" s="1" t="s">
        <v>427</v>
      </c>
    </row>
    <row r="111" spans="1:5">
      <c r="A111" s="16" t="s">
        <v>322</v>
      </c>
      <c r="B111" s="16" t="s">
        <v>173</v>
      </c>
      <c r="C111" s="16">
        <v>5.6</v>
      </c>
      <c r="D111" s="16" t="s">
        <v>431</v>
      </c>
      <c r="E111" s="1" t="s">
        <v>427</v>
      </c>
    </row>
    <row r="112" spans="1:5">
      <c r="A112" s="16" t="s">
        <v>323</v>
      </c>
      <c r="B112" s="16" t="s">
        <v>173</v>
      </c>
      <c r="C112" s="16">
        <v>7.1</v>
      </c>
      <c r="D112" s="16" t="s">
        <v>432</v>
      </c>
      <c r="E112" s="1" t="s">
        <v>427</v>
      </c>
    </row>
    <row r="113" spans="1:5">
      <c r="A113" s="16" t="s">
        <v>324</v>
      </c>
      <c r="B113" s="16" t="s">
        <v>173</v>
      </c>
      <c r="C113" s="16">
        <v>7.1</v>
      </c>
      <c r="D113" s="16" t="s">
        <v>432</v>
      </c>
      <c r="E113" s="1" t="s">
        <v>427</v>
      </c>
    </row>
    <row r="114" spans="1:5">
      <c r="A114" s="16" t="s">
        <v>196</v>
      </c>
      <c r="B114" s="16" t="s">
        <v>183</v>
      </c>
      <c r="C114" s="16">
        <v>2.2</v>
      </c>
      <c r="D114" s="16" t="s">
        <v>426</v>
      </c>
      <c r="E114" s="2" t="s">
        <v>435</v>
      </c>
    </row>
    <row r="115" spans="1:5">
      <c r="A115" s="16" t="s">
        <v>212</v>
      </c>
      <c r="B115" s="16" t="s">
        <v>183</v>
      </c>
      <c r="C115" s="16">
        <v>2.8</v>
      </c>
      <c r="D115" s="16" t="s">
        <v>428</v>
      </c>
      <c r="E115" s="2" t="s">
        <v>435</v>
      </c>
    </row>
    <row r="116" spans="1:5">
      <c r="A116" s="16" t="s">
        <v>227</v>
      </c>
      <c r="B116" s="16" t="s">
        <v>183</v>
      </c>
      <c r="C116" s="16">
        <v>3.6</v>
      </c>
      <c r="D116" s="16" t="s">
        <v>429</v>
      </c>
      <c r="E116" s="2" t="s">
        <v>435</v>
      </c>
    </row>
    <row r="117" spans="1:5">
      <c r="A117" s="16" t="s">
        <v>242</v>
      </c>
      <c r="B117" s="16" t="s">
        <v>183</v>
      </c>
      <c r="C117" s="16">
        <v>4.5</v>
      </c>
      <c r="D117" s="16" t="s">
        <v>430</v>
      </c>
      <c r="E117" s="2" t="s">
        <v>435</v>
      </c>
    </row>
    <row r="118" spans="1:5">
      <c r="A118" s="16" t="s">
        <v>257</v>
      </c>
      <c r="B118" s="16" t="s">
        <v>183</v>
      </c>
      <c r="C118" s="16">
        <v>5.6</v>
      </c>
      <c r="D118" s="16" t="s">
        <v>431</v>
      </c>
      <c r="E118" s="2" t="s">
        <v>435</v>
      </c>
    </row>
    <row r="119" spans="1:5">
      <c r="A119" s="16" t="s">
        <v>272</v>
      </c>
      <c r="B119" s="21" t="s">
        <v>183</v>
      </c>
      <c r="C119" s="16">
        <v>7.1</v>
      </c>
      <c r="D119" s="16" t="s">
        <v>432</v>
      </c>
      <c r="E119" s="2" t="s">
        <v>435</v>
      </c>
    </row>
    <row r="120" spans="1:5">
      <c r="A120" s="16" t="s">
        <v>200</v>
      </c>
      <c r="B120" s="21" t="s">
        <v>168</v>
      </c>
      <c r="C120" s="16">
        <v>2.2</v>
      </c>
      <c r="D120" s="16" t="s">
        <v>426</v>
      </c>
      <c r="E120" s="2" t="s">
        <v>435</v>
      </c>
    </row>
    <row r="121" spans="1:5">
      <c r="A121" s="16" t="s">
        <v>216</v>
      </c>
      <c r="B121" s="21" t="s">
        <v>168</v>
      </c>
      <c r="C121" s="16">
        <v>2.8</v>
      </c>
      <c r="D121" s="16" t="s">
        <v>428</v>
      </c>
      <c r="E121" s="2" t="s">
        <v>435</v>
      </c>
    </row>
    <row r="122" spans="1:5">
      <c r="A122" s="16" t="s">
        <v>231</v>
      </c>
      <c r="B122" s="21" t="s">
        <v>168</v>
      </c>
      <c r="C122" s="16">
        <v>3.6</v>
      </c>
      <c r="D122" s="16" t="s">
        <v>429</v>
      </c>
      <c r="E122" s="2" t="s">
        <v>435</v>
      </c>
    </row>
    <row r="123" spans="1:5">
      <c r="A123" s="16" t="s">
        <v>246</v>
      </c>
      <c r="B123" s="21" t="s">
        <v>168</v>
      </c>
      <c r="C123" s="16">
        <v>4.5</v>
      </c>
      <c r="D123" s="16" t="s">
        <v>430</v>
      </c>
      <c r="E123" s="2" t="s">
        <v>435</v>
      </c>
    </row>
    <row r="124" spans="1:5">
      <c r="A124" s="16" t="s">
        <v>261</v>
      </c>
      <c r="B124" s="21" t="s">
        <v>168</v>
      </c>
      <c r="C124" s="16">
        <v>5.6</v>
      </c>
      <c r="D124" s="16" t="s">
        <v>431</v>
      </c>
      <c r="E124" s="2" t="s">
        <v>435</v>
      </c>
    </row>
    <row r="125" spans="1:5">
      <c r="A125" s="16" t="s">
        <v>276</v>
      </c>
      <c r="B125" s="21" t="s">
        <v>168</v>
      </c>
      <c r="C125" s="16">
        <v>7.1</v>
      </c>
      <c r="D125" s="16" t="s">
        <v>432</v>
      </c>
      <c r="E125" s="2" t="s">
        <v>435</v>
      </c>
    </row>
    <row r="126" spans="1:5">
      <c r="A126" s="16" t="s">
        <v>197</v>
      </c>
      <c r="B126" s="21" t="s">
        <v>174</v>
      </c>
      <c r="C126" s="16">
        <v>2.2</v>
      </c>
      <c r="D126" s="16" t="s">
        <v>426</v>
      </c>
      <c r="E126" s="2" t="s">
        <v>435</v>
      </c>
    </row>
    <row r="127" spans="1:5">
      <c r="A127" s="16" t="s">
        <v>213</v>
      </c>
      <c r="B127" s="21" t="s">
        <v>174</v>
      </c>
      <c r="C127" s="16">
        <v>2.8</v>
      </c>
      <c r="D127" s="16" t="s">
        <v>428</v>
      </c>
      <c r="E127" s="2" t="s">
        <v>435</v>
      </c>
    </row>
    <row r="128" spans="1:5">
      <c r="A128" s="16" t="s">
        <v>228</v>
      </c>
      <c r="B128" s="21" t="s">
        <v>174</v>
      </c>
      <c r="C128" s="16">
        <v>3.6</v>
      </c>
      <c r="D128" s="16" t="s">
        <v>429</v>
      </c>
      <c r="E128" s="2" t="s">
        <v>435</v>
      </c>
    </row>
    <row r="129" spans="1:5">
      <c r="A129" s="16" t="s">
        <v>243</v>
      </c>
      <c r="B129" s="21" t="s">
        <v>174</v>
      </c>
      <c r="C129" s="16">
        <v>4.5</v>
      </c>
      <c r="D129" s="16" t="s">
        <v>430</v>
      </c>
      <c r="E129" s="2" t="s">
        <v>435</v>
      </c>
    </row>
    <row r="130" spans="1:5">
      <c r="A130" s="16" t="s">
        <v>258</v>
      </c>
      <c r="B130" s="21" t="s">
        <v>174</v>
      </c>
      <c r="C130" s="16">
        <v>5.6</v>
      </c>
      <c r="D130" s="16" t="s">
        <v>431</v>
      </c>
      <c r="E130" s="2" t="s">
        <v>435</v>
      </c>
    </row>
    <row r="131" spans="1:5">
      <c r="A131" s="16" t="s">
        <v>273</v>
      </c>
      <c r="B131" s="21" t="s">
        <v>174</v>
      </c>
      <c r="C131" s="16">
        <v>7.1</v>
      </c>
      <c r="D131" s="16" t="s">
        <v>432</v>
      </c>
      <c r="E131" s="2" t="s">
        <v>435</v>
      </c>
    </row>
    <row r="132" spans="1:5">
      <c r="A132" s="21" t="s">
        <v>192</v>
      </c>
      <c r="B132" s="21" t="s">
        <v>177</v>
      </c>
      <c r="C132" s="16">
        <v>3.6</v>
      </c>
      <c r="D132" s="16" t="s">
        <v>429</v>
      </c>
      <c r="E132" s="1" t="s">
        <v>427</v>
      </c>
    </row>
    <row r="133" spans="1:5">
      <c r="A133" s="16" t="s">
        <v>195</v>
      </c>
      <c r="B133" s="16" t="s">
        <v>172</v>
      </c>
      <c r="C133" s="16">
        <v>3.2</v>
      </c>
      <c r="D133" s="16" t="s">
        <v>450</v>
      </c>
      <c r="E133" s="1" t="s">
        <v>427</v>
      </c>
    </row>
    <row r="134" spans="1:5">
      <c r="A134" s="16" t="s">
        <v>202</v>
      </c>
      <c r="B134" s="16" t="s">
        <v>178</v>
      </c>
      <c r="C134" s="16">
        <v>2.8</v>
      </c>
      <c r="D134" s="16" t="s">
        <v>428</v>
      </c>
      <c r="E134" s="1" t="s">
        <v>427</v>
      </c>
    </row>
    <row r="135" spans="1:5">
      <c r="A135" s="16" t="s">
        <v>198</v>
      </c>
      <c r="B135" s="16" t="s">
        <v>171</v>
      </c>
      <c r="C135" s="16">
        <v>2.2</v>
      </c>
      <c r="D135" s="16" t="s">
        <v>426</v>
      </c>
      <c r="E135" s="1" t="s">
        <v>435</v>
      </c>
    </row>
    <row r="136" spans="1:5">
      <c r="A136" s="16" t="s">
        <v>214</v>
      </c>
      <c r="B136" s="16" t="s">
        <v>171</v>
      </c>
      <c r="C136" s="16">
        <v>2.8</v>
      </c>
      <c r="D136" s="16" t="s">
        <v>428</v>
      </c>
      <c r="E136" s="1" t="s">
        <v>435</v>
      </c>
    </row>
    <row r="137" spans="1:5">
      <c r="A137" s="16" t="s">
        <v>229</v>
      </c>
      <c r="B137" s="16" t="s">
        <v>171</v>
      </c>
      <c r="C137" s="16">
        <v>3.6</v>
      </c>
      <c r="D137" s="16" t="s">
        <v>429</v>
      </c>
      <c r="E137" s="1" t="s">
        <v>435</v>
      </c>
    </row>
    <row r="138" spans="1:5">
      <c r="A138" s="16" t="s">
        <v>244</v>
      </c>
      <c r="B138" s="16" t="s">
        <v>171</v>
      </c>
      <c r="C138" s="16">
        <v>4.5</v>
      </c>
      <c r="D138" s="16" t="s">
        <v>430</v>
      </c>
      <c r="E138" s="1" t="s">
        <v>435</v>
      </c>
    </row>
    <row r="139" spans="1:5">
      <c r="A139" s="16" t="s">
        <v>259</v>
      </c>
      <c r="B139" s="16" t="s">
        <v>171</v>
      </c>
      <c r="C139" s="16">
        <v>5.6</v>
      </c>
      <c r="D139" s="16" t="s">
        <v>431</v>
      </c>
      <c r="E139" s="1" t="s">
        <v>435</v>
      </c>
    </row>
    <row r="140" spans="1:5">
      <c r="A140" s="16" t="s">
        <v>274</v>
      </c>
      <c r="B140" s="16" t="s">
        <v>171</v>
      </c>
      <c r="C140" s="16">
        <v>7.1</v>
      </c>
      <c r="D140" s="16" t="s">
        <v>432</v>
      </c>
      <c r="E140" s="1" t="s">
        <v>435</v>
      </c>
    </row>
    <row r="141" spans="1:5">
      <c r="A141" s="16" t="s">
        <v>285</v>
      </c>
      <c r="B141" s="16" t="s">
        <v>171</v>
      </c>
      <c r="C141" s="16">
        <v>8</v>
      </c>
      <c r="D141" s="16" t="s">
        <v>433</v>
      </c>
      <c r="E141" s="1" t="s">
        <v>435</v>
      </c>
    </row>
    <row r="142" spans="1:5">
      <c r="A142" s="16" t="s">
        <v>199</v>
      </c>
      <c r="B142" s="16" t="s">
        <v>184</v>
      </c>
      <c r="C142" s="16">
        <v>2.2</v>
      </c>
      <c r="D142" s="16" t="s">
        <v>426</v>
      </c>
      <c r="E142" s="1" t="s">
        <v>435</v>
      </c>
    </row>
    <row r="143" spans="1:5">
      <c r="A143" s="16" t="s">
        <v>215</v>
      </c>
      <c r="B143" s="16" t="s">
        <v>184</v>
      </c>
      <c r="C143" s="16">
        <v>2.8</v>
      </c>
      <c r="D143" s="16" t="s">
        <v>428</v>
      </c>
      <c r="E143" s="1" t="s">
        <v>435</v>
      </c>
    </row>
    <row r="144" spans="1:5">
      <c r="A144" s="16" t="s">
        <v>230</v>
      </c>
      <c r="B144" s="16" t="s">
        <v>184</v>
      </c>
      <c r="C144" s="16">
        <v>3.6</v>
      </c>
      <c r="D144" s="16" t="s">
        <v>429</v>
      </c>
      <c r="E144" s="1" t="s">
        <v>435</v>
      </c>
    </row>
    <row r="145" spans="1:5">
      <c r="A145" s="16" t="s">
        <v>245</v>
      </c>
      <c r="B145" s="16" t="s">
        <v>184</v>
      </c>
      <c r="C145" s="16">
        <v>4.5</v>
      </c>
      <c r="D145" s="16" t="s">
        <v>430</v>
      </c>
      <c r="E145" s="1" t="s">
        <v>435</v>
      </c>
    </row>
    <row r="146" spans="1:5">
      <c r="A146" s="16" t="s">
        <v>260</v>
      </c>
      <c r="B146" s="16" t="s">
        <v>184</v>
      </c>
      <c r="C146" s="16">
        <v>5.6</v>
      </c>
      <c r="D146" s="16" t="s">
        <v>431</v>
      </c>
      <c r="E146" s="1" t="s">
        <v>435</v>
      </c>
    </row>
    <row r="147" spans="1:5">
      <c r="A147" s="16" t="s">
        <v>275</v>
      </c>
      <c r="B147" s="16" t="s">
        <v>184</v>
      </c>
      <c r="C147" s="16">
        <v>7.1</v>
      </c>
      <c r="D147" s="16" t="s">
        <v>432</v>
      </c>
      <c r="E147" s="1" t="s">
        <v>435</v>
      </c>
    </row>
    <row r="148" spans="1:5">
      <c r="A148" s="16" t="s">
        <v>286</v>
      </c>
      <c r="B148" s="16" t="s">
        <v>184</v>
      </c>
      <c r="C148" s="16">
        <v>2.2</v>
      </c>
      <c r="D148" s="16" t="s">
        <v>426</v>
      </c>
      <c r="E148" s="2" t="s">
        <v>427</v>
      </c>
    </row>
    <row r="149" spans="1:5">
      <c r="A149" s="16" t="s">
        <v>292</v>
      </c>
      <c r="B149" s="16" t="s">
        <v>184</v>
      </c>
      <c r="C149" s="16">
        <v>2.8</v>
      </c>
      <c r="D149" s="16" t="s">
        <v>428</v>
      </c>
      <c r="E149" s="2" t="s">
        <v>427</v>
      </c>
    </row>
    <row r="150" spans="1:5">
      <c r="A150" s="16" t="s">
        <v>297</v>
      </c>
      <c r="B150" s="16" t="s">
        <v>184</v>
      </c>
      <c r="C150" s="16">
        <v>3.6</v>
      </c>
      <c r="D150" s="16" t="s">
        <v>429</v>
      </c>
      <c r="E150" s="2" t="s">
        <v>427</v>
      </c>
    </row>
    <row r="151" spans="1:5">
      <c r="A151" s="16" t="s">
        <v>303</v>
      </c>
      <c r="B151" s="16" t="s">
        <v>184</v>
      </c>
      <c r="C151" s="16">
        <v>4.5</v>
      </c>
      <c r="D151" s="16" t="s">
        <v>430</v>
      </c>
      <c r="E151" s="2" t="s">
        <v>427</v>
      </c>
    </row>
    <row r="152" spans="1:5">
      <c r="A152" s="16" t="s">
        <v>308</v>
      </c>
      <c r="B152" s="16" t="s">
        <v>184</v>
      </c>
      <c r="C152" s="16">
        <v>5.6</v>
      </c>
      <c r="D152" s="16" t="s">
        <v>431</v>
      </c>
      <c r="E152" s="2" t="s">
        <v>427</v>
      </c>
    </row>
    <row r="153" spans="1:5">
      <c r="A153" s="16" t="s">
        <v>313</v>
      </c>
      <c r="B153" s="16" t="s">
        <v>184</v>
      </c>
      <c r="C153" s="16">
        <v>7.1</v>
      </c>
      <c r="D153" s="16" t="s">
        <v>432</v>
      </c>
      <c r="E153" s="2" t="s">
        <v>427</v>
      </c>
    </row>
    <row r="154" spans="1:5">
      <c r="A154" s="16" t="s">
        <v>201</v>
      </c>
      <c r="B154" s="16" t="s">
        <v>170</v>
      </c>
      <c r="C154" s="16">
        <v>2.2</v>
      </c>
      <c r="D154" s="16" t="s">
        <v>426</v>
      </c>
      <c r="E154" s="1" t="s">
        <v>435</v>
      </c>
    </row>
    <row r="155" spans="1:5">
      <c r="A155" s="16" t="s">
        <v>217</v>
      </c>
      <c r="B155" s="16" t="s">
        <v>170</v>
      </c>
      <c r="C155" s="16">
        <v>2.8</v>
      </c>
      <c r="D155" s="16" t="s">
        <v>428</v>
      </c>
      <c r="E155" s="1" t="s">
        <v>435</v>
      </c>
    </row>
    <row r="156" spans="1:5">
      <c r="A156" s="16" t="s">
        <v>232</v>
      </c>
      <c r="B156" s="16" t="s">
        <v>170</v>
      </c>
      <c r="C156" s="16">
        <v>3.6</v>
      </c>
      <c r="D156" s="16" t="s">
        <v>429</v>
      </c>
      <c r="E156" s="1" t="s">
        <v>435</v>
      </c>
    </row>
    <row r="157" spans="1:5">
      <c r="A157" s="16" t="s">
        <v>247</v>
      </c>
      <c r="B157" s="16" t="s">
        <v>170</v>
      </c>
      <c r="C157" s="16">
        <v>4.5</v>
      </c>
      <c r="D157" s="16" t="s">
        <v>430</v>
      </c>
      <c r="E157" s="1" t="s">
        <v>435</v>
      </c>
    </row>
    <row r="158" spans="1:5">
      <c r="A158" s="16" t="s">
        <v>262</v>
      </c>
      <c r="B158" s="16" t="s">
        <v>170</v>
      </c>
      <c r="C158" s="16">
        <v>5.6</v>
      </c>
      <c r="D158" s="16" t="s">
        <v>431</v>
      </c>
      <c r="E158" s="1" t="s">
        <v>435</v>
      </c>
    </row>
    <row r="159" spans="1:5">
      <c r="A159" s="16" t="s">
        <v>277</v>
      </c>
      <c r="B159" s="16" t="s">
        <v>170</v>
      </c>
      <c r="C159" s="16">
        <v>7.1</v>
      </c>
      <c r="D159" s="16" t="s">
        <v>432</v>
      </c>
      <c r="E159" s="1" t="s">
        <v>435</v>
      </c>
    </row>
  </sheetData>
  <autoFilter xmlns:etc="http://www.wps.cn/officeDocument/2017/etCustomData" ref="A1:L159" etc:filterBottomFollowUsedRange="0">
    <extLst/>
  </autoFilter>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37"/>
  <sheetViews>
    <sheetView zoomScale="130" zoomScaleNormal="130" topLeftCell="A115" workbookViewId="0">
      <selection activeCell="A27" sqref="A27:J27"/>
    </sheetView>
  </sheetViews>
  <sheetFormatPr defaultColWidth="9" defaultRowHeight="13.8"/>
  <cols>
    <col min="1" max="1" width="24.3796296296296" style="1" customWidth="1"/>
    <col min="2" max="2" width="28.75" style="1" customWidth="1"/>
    <col min="3" max="5" width="9" style="1"/>
    <col min="6" max="6" width="16.1296296296296" customWidth="1"/>
    <col min="7" max="7" width="29.6296296296296" customWidth="1"/>
  </cols>
  <sheetData>
    <row r="1" spans="1:6">
      <c r="A1" s="1" t="s">
        <v>451</v>
      </c>
      <c r="B1" s="1" t="s">
        <v>52</v>
      </c>
      <c r="C1" s="1" t="s">
        <v>22</v>
      </c>
      <c r="D1" s="1" t="s">
        <v>33</v>
      </c>
      <c r="E1" s="1" t="s">
        <v>20</v>
      </c>
      <c r="F1" s="2" t="s">
        <v>137</v>
      </c>
    </row>
    <row r="2" ht="15.6" spans="1:6">
      <c r="A2" s="2" t="s">
        <v>97</v>
      </c>
      <c r="B2" s="2" t="s">
        <v>452</v>
      </c>
      <c r="C2" s="1">
        <v>12</v>
      </c>
      <c r="D2" s="1">
        <v>14</v>
      </c>
      <c r="E2" s="3">
        <v>5</v>
      </c>
    </row>
    <row r="3" ht="15.6" spans="1:6">
      <c r="A3" s="2" t="s">
        <v>97</v>
      </c>
      <c r="B3" s="2" t="s">
        <v>453</v>
      </c>
      <c r="C3" s="1">
        <v>14</v>
      </c>
      <c r="D3" s="1">
        <v>16</v>
      </c>
      <c r="E3" s="3">
        <v>6</v>
      </c>
    </row>
    <row r="4" ht="15.6" spans="1:6">
      <c r="A4" s="2" t="s">
        <v>97</v>
      </c>
      <c r="B4" s="2" t="s">
        <v>454</v>
      </c>
      <c r="C4" s="1">
        <v>16</v>
      </c>
      <c r="D4" s="1">
        <v>18.5</v>
      </c>
      <c r="E4" s="3" t="s">
        <v>455</v>
      </c>
    </row>
    <row r="5" ht="15.6" spans="1:6">
      <c r="A5" s="2" t="s">
        <v>97</v>
      </c>
      <c r="B5" s="2" t="s">
        <v>456</v>
      </c>
      <c r="C5" s="1">
        <v>18</v>
      </c>
      <c r="D5" s="1">
        <v>20</v>
      </c>
      <c r="E5" s="3">
        <v>7</v>
      </c>
    </row>
    <row r="6" ht="15.6" spans="1:6">
      <c r="A6" s="2" t="s">
        <v>97</v>
      </c>
      <c r="B6" s="2" t="s">
        <v>457</v>
      </c>
      <c r="C6" s="1">
        <v>20</v>
      </c>
      <c r="D6" s="1">
        <v>22.4</v>
      </c>
      <c r="E6" s="3" t="s">
        <v>458</v>
      </c>
    </row>
    <row r="7" ht="15.6" spans="1:6">
      <c r="A7" s="2" t="s">
        <v>97</v>
      </c>
      <c r="B7" s="2" t="s">
        <v>459</v>
      </c>
      <c r="C7" s="1">
        <v>22.4</v>
      </c>
      <c r="D7" s="1">
        <v>25</v>
      </c>
      <c r="E7" s="3">
        <v>8</v>
      </c>
    </row>
    <row r="8" ht="15.6" spans="1:6">
      <c r="A8" s="2" t="s">
        <v>97</v>
      </c>
      <c r="B8" s="2" t="s">
        <v>460</v>
      </c>
      <c r="C8" s="1">
        <v>20</v>
      </c>
      <c r="D8" s="1">
        <v>22.4</v>
      </c>
      <c r="E8" s="3" t="s">
        <v>458</v>
      </c>
    </row>
    <row r="9" ht="15.6" spans="1:6">
      <c r="A9" s="2" t="s">
        <v>97</v>
      </c>
      <c r="B9" s="2" t="s">
        <v>461</v>
      </c>
      <c r="C9" s="1">
        <v>22.4</v>
      </c>
      <c r="D9" s="1">
        <v>25</v>
      </c>
      <c r="E9" s="3">
        <v>8</v>
      </c>
    </row>
    <row r="10" ht="15.6" spans="1:6">
      <c r="A10" s="2" t="s">
        <v>97</v>
      </c>
      <c r="B10" s="2" t="s">
        <v>98</v>
      </c>
      <c r="C10" s="1">
        <v>28.5</v>
      </c>
      <c r="D10" s="1">
        <v>31.5</v>
      </c>
      <c r="E10" s="3">
        <v>10</v>
      </c>
    </row>
    <row r="11" ht="15.6" spans="1:6">
      <c r="A11" s="2" t="s">
        <v>97</v>
      </c>
      <c r="B11" s="2" t="s">
        <v>101</v>
      </c>
      <c r="C11" s="1">
        <v>33.5</v>
      </c>
      <c r="D11" s="1">
        <v>37.5</v>
      </c>
      <c r="E11" s="3">
        <v>12</v>
      </c>
    </row>
    <row r="12" ht="15.6" spans="1:6">
      <c r="A12" s="2" t="s">
        <v>103</v>
      </c>
      <c r="B12" s="2" t="s">
        <v>104</v>
      </c>
      <c r="C12" s="1">
        <v>12</v>
      </c>
      <c r="D12" s="1">
        <v>14.5</v>
      </c>
      <c r="E12" s="3">
        <v>5</v>
      </c>
    </row>
    <row r="13" ht="15.6" spans="1:6">
      <c r="A13" s="2" t="s">
        <v>103</v>
      </c>
      <c r="B13" s="1" t="s">
        <v>109</v>
      </c>
      <c r="C13" s="1">
        <v>14</v>
      </c>
      <c r="D13" s="1">
        <v>16.5</v>
      </c>
      <c r="E13" s="3">
        <v>6</v>
      </c>
    </row>
    <row r="14" ht="15.6" spans="1:6">
      <c r="A14" s="2" t="s">
        <v>103</v>
      </c>
      <c r="B14" s="1" t="s">
        <v>111</v>
      </c>
      <c r="C14" s="1">
        <v>16</v>
      </c>
      <c r="D14" s="1">
        <v>19</v>
      </c>
      <c r="E14" s="3" t="s">
        <v>455</v>
      </c>
    </row>
    <row r="15" ht="15.6" spans="1:6">
      <c r="A15" s="2" t="s">
        <v>103</v>
      </c>
      <c r="B15" s="1" t="s">
        <v>113</v>
      </c>
      <c r="C15" s="1">
        <v>18</v>
      </c>
      <c r="D15" s="1">
        <v>20.5</v>
      </c>
      <c r="E15" s="3">
        <v>7</v>
      </c>
    </row>
    <row r="16" ht="15.6" spans="1:6">
      <c r="A16" s="2" t="s">
        <v>103</v>
      </c>
      <c r="B16" s="2" t="s">
        <v>40</v>
      </c>
      <c r="C16" s="1">
        <v>20</v>
      </c>
      <c r="D16" s="1">
        <v>22.9</v>
      </c>
      <c r="E16" s="3" t="s">
        <v>458</v>
      </c>
    </row>
    <row r="17" ht="15.6" spans="1:9">
      <c r="A17" s="2" t="s">
        <v>103</v>
      </c>
      <c r="B17" s="1" t="s">
        <v>117</v>
      </c>
      <c r="C17" s="1">
        <v>20</v>
      </c>
      <c r="D17" s="1">
        <v>22.9</v>
      </c>
      <c r="E17" s="3" t="s">
        <v>458</v>
      </c>
    </row>
    <row r="18" ht="15.6" spans="1:9">
      <c r="A18" s="2" t="s">
        <v>103</v>
      </c>
      <c r="B18" s="1" t="s">
        <v>118</v>
      </c>
      <c r="C18" s="1">
        <v>22.4</v>
      </c>
      <c r="D18" s="1">
        <v>25.5</v>
      </c>
      <c r="E18" s="3">
        <v>8</v>
      </c>
    </row>
    <row r="19" ht="15.6" spans="1:9">
      <c r="A19" s="2" t="s">
        <v>103</v>
      </c>
      <c r="B19" s="2" t="s">
        <v>119</v>
      </c>
      <c r="C19" s="1">
        <v>22.4</v>
      </c>
      <c r="D19" s="1">
        <v>25.5</v>
      </c>
      <c r="E19" s="3">
        <v>8</v>
      </c>
    </row>
    <row r="20" ht="15.6" spans="1:9">
      <c r="A20" s="2" t="s">
        <v>325</v>
      </c>
      <c r="B20" s="4" t="s">
        <v>342</v>
      </c>
      <c r="C20" s="1">
        <v>12.5</v>
      </c>
      <c r="D20" s="1">
        <v>14.5</v>
      </c>
      <c r="E20" s="3">
        <v>5</v>
      </c>
      <c r="H20" s="5">
        <v>12500</v>
      </c>
      <c r="I20" s="6">
        <v>14500</v>
      </c>
    </row>
    <row r="21" ht="15.6" spans="1:9">
      <c r="A21" s="2" t="s">
        <v>325</v>
      </c>
      <c r="B21" s="4" t="s">
        <v>354</v>
      </c>
      <c r="C21" s="1">
        <v>14</v>
      </c>
      <c r="D21" s="1">
        <v>16.5</v>
      </c>
      <c r="E21" s="3">
        <v>6</v>
      </c>
      <c r="H21" s="5">
        <v>14000</v>
      </c>
      <c r="I21" s="7">
        <v>16500</v>
      </c>
    </row>
    <row r="22" ht="15.6" spans="1:9">
      <c r="A22" s="2" t="s">
        <v>325</v>
      </c>
      <c r="B22" s="4" t="s">
        <v>366</v>
      </c>
      <c r="C22" s="1">
        <v>16</v>
      </c>
      <c r="D22" s="1">
        <v>19</v>
      </c>
      <c r="E22" s="3" t="s">
        <v>455</v>
      </c>
      <c r="H22" s="6">
        <v>16000</v>
      </c>
      <c r="I22" s="7">
        <v>19000</v>
      </c>
    </row>
    <row r="23" ht="15.6" spans="1:9">
      <c r="A23" s="2" t="s">
        <v>325</v>
      </c>
      <c r="B23" s="4" t="s">
        <v>377</v>
      </c>
      <c r="C23" s="1">
        <v>18</v>
      </c>
      <c r="D23" s="1">
        <v>20.5</v>
      </c>
      <c r="E23" s="3">
        <v>7</v>
      </c>
      <c r="H23" s="7">
        <v>18000</v>
      </c>
      <c r="I23" s="7">
        <v>20500</v>
      </c>
    </row>
    <row r="24" ht="15.6" spans="1:9">
      <c r="A24" s="1" t="s">
        <v>125</v>
      </c>
      <c r="B24" s="1" t="s">
        <v>126</v>
      </c>
      <c r="C24" s="1">
        <v>12</v>
      </c>
      <c r="D24" s="1">
        <v>14</v>
      </c>
      <c r="E24" s="3">
        <v>5</v>
      </c>
    </row>
    <row r="25" ht="15.6" spans="1:9">
      <c r="A25" s="1" t="s">
        <v>125</v>
      </c>
      <c r="B25" s="2" t="s">
        <v>127</v>
      </c>
      <c r="C25" s="1">
        <v>14</v>
      </c>
      <c r="D25" s="1">
        <v>16</v>
      </c>
      <c r="E25" s="3">
        <v>6</v>
      </c>
    </row>
    <row r="26" ht="15.6" spans="1:9">
      <c r="A26" s="1" t="s">
        <v>125</v>
      </c>
      <c r="B26" s="2" t="s">
        <v>128</v>
      </c>
      <c r="C26" s="1">
        <v>16</v>
      </c>
      <c r="D26" s="1">
        <v>18.5</v>
      </c>
      <c r="E26" s="3" t="s">
        <v>455</v>
      </c>
    </row>
    <row r="27" ht="15.6" spans="1:9">
      <c r="A27" s="1" t="s">
        <v>125</v>
      </c>
      <c r="B27" s="2" t="s">
        <v>130</v>
      </c>
      <c r="C27" s="1">
        <v>18</v>
      </c>
      <c r="D27" s="1">
        <v>20</v>
      </c>
      <c r="E27" s="3">
        <v>7</v>
      </c>
    </row>
    <row r="28" ht="15.6" spans="1:9">
      <c r="A28" s="1" t="s">
        <v>125</v>
      </c>
      <c r="B28" s="2" t="s">
        <v>132</v>
      </c>
      <c r="C28" s="1">
        <v>20</v>
      </c>
      <c r="D28" s="1">
        <v>22.4</v>
      </c>
      <c r="E28" s="3" t="s">
        <v>458</v>
      </c>
    </row>
    <row r="29" ht="15.6" spans="1:9">
      <c r="A29" s="2" t="s">
        <v>125</v>
      </c>
      <c r="B29" s="2" t="s">
        <v>134</v>
      </c>
      <c r="C29" s="1">
        <v>22.4</v>
      </c>
      <c r="D29" s="1">
        <v>25</v>
      </c>
      <c r="E29" s="3">
        <v>8</v>
      </c>
    </row>
    <row r="30" ht="15.6" spans="1:9">
      <c r="A30" s="2" t="s">
        <v>135</v>
      </c>
      <c r="B30" s="2" t="s">
        <v>136</v>
      </c>
      <c r="C30" s="1">
        <v>12</v>
      </c>
      <c r="D30" s="1">
        <v>14</v>
      </c>
      <c r="E30" s="3">
        <v>5</v>
      </c>
    </row>
    <row r="31" ht="15.6" spans="1:9">
      <c r="A31" s="2" t="s">
        <v>135</v>
      </c>
      <c r="B31" s="2" t="s">
        <v>139</v>
      </c>
      <c r="C31" s="1">
        <v>14</v>
      </c>
      <c r="D31" s="1">
        <v>16</v>
      </c>
      <c r="E31" s="3">
        <v>6</v>
      </c>
      <c r="G31" s="8"/>
    </row>
    <row r="32" ht="15.6" spans="1:9">
      <c r="A32" s="2" t="s">
        <v>135</v>
      </c>
      <c r="B32" s="2" t="s">
        <v>144</v>
      </c>
      <c r="C32" s="1">
        <v>16</v>
      </c>
      <c r="D32" s="1">
        <v>18.5</v>
      </c>
      <c r="E32" s="3" t="s">
        <v>455</v>
      </c>
      <c r="G32" s="8"/>
    </row>
    <row r="33" ht="15.6" spans="1:7">
      <c r="A33" s="2" t="s">
        <v>135</v>
      </c>
      <c r="B33" s="2" t="s">
        <v>145</v>
      </c>
      <c r="C33" s="1">
        <v>18</v>
      </c>
      <c r="D33" s="1">
        <v>20</v>
      </c>
      <c r="E33" s="3">
        <v>7</v>
      </c>
      <c r="G33" s="8"/>
    </row>
    <row r="34" ht="15.6" spans="1:7">
      <c r="A34" s="2" t="s">
        <v>135</v>
      </c>
      <c r="B34" s="2" t="s">
        <v>146</v>
      </c>
      <c r="C34" s="1">
        <v>20</v>
      </c>
      <c r="D34" s="1">
        <v>22.9</v>
      </c>
      <c r="E34" s="3" t="s">
        <v>458</v>
      </c>
      <c r="G34" s="8"/>
    </row>
    <row r="35" ht="15.6" spans="1:7">
      <c r="A35" s="2" t="s">
        <v>135</v>
      </c>
      <c r="B35" s="2" t="s">
        <v>147</v>
      </c>
      <c r="C35" s="1">
        <v>22.4</v>
      </c>
      <c r="D35" s="1">
        <v>25.5</v>
      </c>
      <c r="E35" s="3">
        <v>8</v>
      </c>
      <c r="G35" s="8"/>
    </row>
    <row r="36" ht="15.6" spans="1:7">
      <c r="A36" s="2" t="s">
        <v>337</v>
      </c>
      <c r="B36" s="2" t="s">
        <v>350</v>
      </c>
      <c r="C36" s="1">
        <v>12</v>
      </c>
      <c r="D36" s="1">
        <v>14</v>
      </c>
      <c r="E36" s="3">
        <v>5</v>
      </c>
      <c r="G36" s="8"/>
    </row>
    <row r="37" ht="15.6" spans="1:7">
      <c r="A37" s="2" t="s">
        <v>337</v>
      </c>
      <c r="B37" s="2" t="s">
        <v>362</v>
      </c>
      <c r="C37" s="1">
        <v>14</v>
      </c>
      <c r="D37" s="1">
        <v>16.5</v>
      </c>
      <c r="E37" s="3">
        <v>6</v>
      </c>
      <c r="G37" s="8"/>
    </row>
    <row r="38" ht="15.6" spans="1:7">
      <c r="A38" s="2" t="s">
        <v>337</v>
      </c>
      <c r="B38" s="2" t="s">
        <v>373</v>
      </c>
      <c r="C38" s="1">
        <v>16</v>
      </c>
      <c r="D38" s="1">
        <v>18.5</v>
      </c>
      <c r="E38" s="3" t="s">
        <v>455</v>
      </c>
      <c r="G38" s="8"/>
    </row>
    <row r="39" ht="15.6" spans="1:7">
      <c r="A39" s="2" t="s">
        <v>337</v>
      </c>
      <c r="B39" s="2" t="s">
        <v>384</v>
      </c>
      <c r="C39" s="1">
        <v>18</v>
      </c>
      <c r="D39" s="1">
        <v>20</v>
      </c>
      <c r="E39" s="3">
        <v>7</v>
      </c>
      <c r="G39" s="8"/>
    </row>
    <row r="40" ht="15.6" spans="1:7">
      <c r="A40" s="1" t="s">
        <v>330</v>
      </c>
      <c r="B40" s="9" t="s">
        <v>343</v>
      </c>
      <c r="C40" s="1">
        <v>12</v>
      </c>
      <c r="D40" s="1">
        <v>14.5</v>
      </c>
      <c r="E40" s="3">
        <v>5</v>
      </c>
    </row>
    <row r="41" ht="15.6" spans="1:7">
      <c r="A41" s="1" t="s">
        <v>330</v>
      </c>
      <c r="B41" s="9" t="s">
        <v>355</v>
      </c>
      <c r="C41" s="1">
        <v>14</v>
      </c>
      <c r="D41" s="1">
        <v>16.5</v>
      </c>
      <c r="E41" s="3">
        <v>6</v>
      </c>
    </row>
    <row r="42" ht="15.6" spans="1:7">
      <c r="A42" s="1" t="s">
        <v>330</v>
      </c>
      <c r="B42" s="9" t="s">
        <v>367</v>
      </c>
      <c r="C42" s="1">
        <v>16</v>
      </c>
      <c r="D42" s="1">
        <v>19</v>
      </c>
      <c r="E42" s="3" t="s">
        <v>455</v>
      </c>
    </row>
    <row r="43" ht="15.6" spans="1:7">
      <c r="A43" s="1" t="s">
        <v>330</v>
      </c>
      <c r="B43" s="9" t="s">
        <v>378</v>
      </c>
      <c r="C43" s="1">
        <v>18</v>
      </c>
      <c r="D43" s="1">
        <v>20.5</v>
      </c>
      <c r="E43" s="3">
        <v>7</v>
      </c>
    </row>
    <row r="44" ht="15.6" spans="1:7">
      <c r="A44" s="2" t="s">
        <v>330</v>
      </c>
      <c r="B44" s="9" t="s">
        <v>388</v>
      </c>
      <c r="C44" s="1">
        <v>20</v>
      </c>
      <c r="D44" s="1">
        <v>22.9</v>
      </c>
      <c r="E44" s="3" t="s">
        <v>458</v>
      </c>
      <c r="G44" s="8"/>
    </row>
    <row r="45" ht="15.6" spans="1:7">
      <c r="A45" s="2" t="s">
        <v>330</v>
      </c>
      <c r="B45" s="9" t="s">
        <v>397</v>
      </c>
      <c r="C45" s="1">
        <v>22.4</v>
      </c>
      <c r="D45" s="1">
        <v>25.5</v>
      </c>
      <c r="E45" s="3">
        <v>8</v>
      </c>
      <c r="G45" s="8"/>
    </row>
    <row r="46" ht="15.6" spans="1:7">
      <c r="A46" s="2" t="s">
        <v>462</v>
      </c>
      <c r="B46" s="10" t="s">
        <v>463</v>
      </c>
      <c r="C46" s="1">
        <v>12.5</v>
      </c>
      <c r="D46" s="1">
        <v>14.5</v>
      </c>
      <c r="E46" s="3">
        <v>5</v>
      </c>
      <c r="G46" s="8"/>
    </row>
    <row r="47" ht="15.6" spans="1:7">
      <c r="A47" s="2" t="s">
        <v>462</v>
      </c>
      <c r="B47" s="10" t="s">
        <v>464</v>
      </c>
      <c r="C47" s="1">
        <v>14</v>
      </c>
      <c r="D47" s="1">
        <v>16.5</v>
      </c>
      <c r="E47" s="3">
        <v>6</v>
      </c>
      <c r="G47" s="8"/>
    </row>
    <row r="48" ht="15.6" spans="1:7">
      <c r="A48" s="2" t="s">
        <v>462</v>
      </c>
      <c r="B48" s="10" t="s">
        <v>465</v>
      </c>
      <c r="C48" s="1">
        <v>16</v>
      </c>
      <c r="D48" s="1">
        <v>19</v>
      </c>
      <c r="E48" s="3" t="s">
        <v>455</v>
      </c>
      <c r="G48" s="8"/>
    </row>
    <row r="49" ht="15.6" spans="1:9">
      <c r="A49" s="2" t="s">
        <v>462</v>
      </c>
      <c r="B49" s="10" t="s">
        <v>466</v>
      </c>
      <c r="C49" s="1">
        <v>18</v>
      </c>
      <c r="D49" s="1">
        <v>20.5</v>
      </c>
      <c r="E49" s="3">
        <v>7</v>
      </c>
      <c r="G49" s="8"/>
    </row>
    <row r="50" ht="15.6" spans="1:9">
      <c r="A50" s="2" t="s">
        <v>331</v>
      </c>
      <c r="B50" s="11" t="s">
        <v>344</v>
      </c>
      <c r="C50" s="1">
        <v>12.5</v>
      </c>
      <c r="D50" s="1">
        <v>14.5</v>
      </c>
      <c r="E50" s="3">
        <v>5</v>
      </c>
      <c r="G50" s="8"/>
      <c r="H50" s="12">
        <v>12500</v>
      </c>
      <c r="I50" s="12">
        <v>14500</v>
      </c>
    </row>
    <row r="51" ht="15.6" spans="1:9">
      <c r="A51" s="2" t="s">
        <v>331</v>
      </c>
      <c r="B51" s="11" t="s">
        <v>356</v>
      </c>
      <c r="C51" s="1">
        <v>14.1</v>
      </c>
      <c r="D51" s="1">
        <v>16.5</v>
      </c>
      <c r="E51" s="3">
        <v>6</v>
      </c>
      <c r="G51" s="8"/>
      <c r="H51" s="12">
        <v>14100</v>
      </c>
      <c r="I51" s="12">
        <v>16500</v>
      </c>
    </row>
    <row r="52" ht="15" spans="1:9">
      <c r="A52" s="2" t="s">
        <v>331</v>
      </c>
      <c r="B52" s="11" t="s">
        <v>467</v>
      </c>
      <c r="G52" s="8"/>
    </row>
    <row r="53" ht="15" spans="1:9">
      <c r="A53" s="2" t="s">
        <v>331</v>
      </c>
      <c r="B53" s="11" t="s">
        <v>468</v>
      </c>
      <c r="G53" s="8"/>
    </row>
    <row r="54" ht="15" spans="1:9">
      <c r="A54" s="2" t="s">
        <v>331</v>
      </c>
      <c r="B54" s="11" t="s">
        <v>469</v>
      </c>
      <c r="G54" s="8"/>
    </row>
    <row r="55" ht="15" spans="1:9">
      <c r="A55" s="2" t="s">
        <v>331</v>
      </c>
      <c r="B55" s="11" t="s">
        <v>470</v>
      </c>
      <c r="G55" s="8"/>
    </row>
    <row r="56" ht="15" spans="1:9">
      <c r="A56" s="2" t="s">
        <v>331</v>
      </c>
      <c r="B56" s="11" t="s">
        <v>471</v>
      </c>
      <c r="G56" s="8"/>
    </row>
    <row r="57" ht="15" customHeight="1" spans="1:9">
      <c r="A57" s="2" t="s">
        <v>332</v>
      </c>
      <c r="B57" s="1" t="s">
        <v>345</v>
      </c>
      <c r="C57" s="1">
        <v>8</v>
      </c>
      <c r="D57" s="1">
        <v>9</v>
      </c>
      <c r="E57" s="3" t="s">
        <v>472</v>
      </c>
      <c r="H57" s="1">
        <v>8000</v>
      </c>
      <c r="I57" s="1">
        <v>9000</v>
      </c>
    </row>
    <row r="58" ht="15.6" spans="1:9">
      <c r="A58" s="1" t="s">
        <v>332</v>
      </c>
      <c r="B58" s="1" t="s">
        <v>357</v>
      </c>
      <c r="C58" s="1">
        <v>10</v>
      </c>
      <c r="D58" s="1">
        <v>12</v>
      </c>
      <c r="E58" s="3">
        <v>4</v>
      </c>
      <c r="H58" s="1">
        <v>10000</v>
      </c>
      <c r="I58" s="1">
        <v>12000</v>
      </c>
    </row>
    <row r="59" ht="15.6" spans="1:9">
      <c r="A59" s="1" t="s">
        <v>332</v>
      </c>
      <c r="B59" s="1" t="s">
        <v>368</v>
      </c>
      <c r="C59" s="1">
        <v>12</v>
      </c>
      <c r="D59" s="1">
        <v>13.5</v>
      </c>
      <c r="E59" s="3">
        <v>5</v>
      </c>
      <c r="H59" s="1">
        <v>12000</v>
      </c>
      <c r="I59" s="1">
        <v>13500</v>
      </c>
    </row>
    <row r="60" ht="15.6" spans="1:9">
      <c r="A60" s="1" t="s">
        <v>332</v>
      </c>
      <c r="B60" s="1" t="s">
        <v>379</v>
      </c>
      <c r="C60" s="1">
        <v>14.1</v>
      </c>
      <c r="D60" s="1">
        <v>16</v>
      </c>
      <c r="E60" s="3">
        <v>6</v>
      </c>
      <c r="H60">
        <v>14100</v>
      </c>
      <c r="I60">
        <v>16000</v>
      </c>
    </row>
    <row r="61" ht="15" customHeight="1" spans="1:9">
      <c r="A61" s="2" t="s">
        <v>332</v>
      </c>
      <c r="B61" s="1" t="s">
        <v>389</v>
      </c>
      <c r="C61" s="1">
        <v>16</v>
      </c>
      <c r="D61" s="1">
        <v>18</v>
      </c>
      <c r="E61" s="3" t="s">
        <v>455</v>
      </c>
      <c r="H61" s="1"/>
      <c r="I61" s="1"/>
    </row>
    <row r="62" ht="15.6" spans="1:9">
      <c r="A62" s="1" t="s">
        <v>332</v>
      </c>
      <c r="B62" s="1" t="s">
        <v>398</v>
      </c>
      <c r="C62" s="1">
        <v>10</v>
      </c>
      <c r="D62" s="1">
        <v>12</v>
      </c>
      <c r="E62" s="3">
        <v>4</v>
      </c>
    </row>
    <row r="63" ht="15.6" spans="1:9">
      <c r="A63" s="1" t="s">
        <v>332</v>
      </c>
      <c r="B63" s="1" t="s">
        <v>405</v>
      </c>
      <c r="C63" s="1">
        <v>12</v>
      </c>
      <c r="D63" s="1">
        <v>13.5</v>
      </c>
      <c r="E63" s="3">
        <v>5</v>
      </c>
    </row>
    <row r="64" ht="15.6" spans="1:9">
      <c r="A64" s="1" t="s">
        <v>332</v>
      </c>
      <c r="B64" s="1" t="s">
        <v>408</v>
      </c>
      <c r="C64" s="1">
        <v>14.1</v>
      </c>
      <c r="D64" s="1">
        <v>16</v>
      </c>
      <c r="E64" s="3">
        <v>6</v>
      </c>
    </row>
    <row r="65" ht="15.6" spans="1:5">
      <c r="A65" s="1" t="s">
        <v>332</v>
      </c>
      <c r="B65" s="1" t="s">
        <v>411</v>
      </c>
      <c r="C65" s="1">
        <v>14</v>
      </c>
      <c r="D65" s="1">
        <v>16.5</v>
      </c>
      <c r="E65" s="3">
        <v>6</v>
      </c>
    </row>
    <row r="66" ht="15.6" spans="1:5">
      <c r="A66" s="1" t="s">
        <v>332</v>
      </c>
      <c r="B66" s="1" t="s">
        <v>414</v>
      </c>
      <c r="C66" s="1">
        <v>16</v>
      </c>
      <c r="D66" s="1">
        <v>18.5</v>
      </c>
      <c r="E66" s="3" t="s">
        <v>455</v>
      </c>
    </row>
    <row r="67" ht="15.6" spans="1:5">
      <c r="A67" s="1" t="s">
        <v>332</v>
      </c>
      <c r="B67" s="1" t="s">
        <v>417</v>
      </c>
      <c r="C67" s="1">
        <v>18</v>
      </c>
      <c r="D67" s="1">
        <v>20</v>
      </c>
      <c r="E67" s="3">
        <v>7</v>
      </c>
    </row>
    <row r="68" ht="15.6" spans="1:5">
      <c r="A68" s="1" t="s">
        <v>333</v>
      </c>
      <c r="B68" s="2" t="s">
        <v>346</v>
      </c>
      <c r="C68" s="1">
        <v>10</v>
      </c>
      <c r="D68" s="1">
        <v>12</v>
      </c>
      <c r="E68" s="3">
        <v>4</v>
      </c>
    </row>
    <row r="69" ht="15.6" spans="1:5">
      <c r="A69" s="1" t="s">
        <v>333</v>
      </c>
      <c r="B69" s="1" t="s">
        <v>358</v>
      </c>
      <c r="C69" s="1">
        <v>12</v>
      </c>
      <c r="D69" s="1">
        <v>13.5</v>
      </c>
      <c r="E69" s="3">
        <v>5</v>
      </c>
    </row>
    <row r="70" ht="15.6" spans="1:5">
      <c r="A70" s="1" t="s">
        <v>333</v>
      </c>
      <c r="B70" s="2" t="s">
        <v>473</v>
      </c>
      <c r="C70" s="1">
        <v>14.1</v>
      </c>
      <c r="D70" s="1">
        <v>16</v>
      </c>
      <c r="E70" s="3">
        <v>6</v>
      </c>
    </row>
    <row r="71" ht="15.6" spans="1:5">
      <c r="A71" s="1" t="s">
        <v>333</v>
      </c>
      <c r="B71" s="2" t="s">
        <v>380</v>
      </c>
      <c r="C71" s="1">
        <v>16</v>
      </c>
      <c r="D71" s="1">
        <v>18</v>
      </c>
      <c r="E71" s="3" t="s">
        <v>455</v>
      </c>
    </row>
    <row r="72" ht="15.6" spans="1:5">
      <c r="A72" s="1" t="s">
        <v>333</v>
      </c>
      <c r="B72" s="2" t="s">
        <v>390</v>
      </c>
      <c r="C72" s="1">
        <v>16</v>
      </c>
      <c r="D72" s="1">
        <v>18.5</v>
      </c>
      <c r="E72" s="3" t="s">
        <v>455</v>
      </c>
    </row>
    <row r="73" ht="15.6" spans="1:5">
      <c r="A73" s="1" t="s">
        <v>333</v>
      </c>
      <c r="B73" s="2" t="s">
        <v>399</v>
      </c>
      <c r="C73" s="1">
        <v>18</v>
      </c>
      <c r="D73" s="1">
        <v>20</v>
      </c>
      <c r="E73" s="3">
        <v>7</v>
      </c>
    </row>
    <row r="74" ht="15.6" spans="1:5">
      <c r="A74" s="1" t="s">
        <v>334</v>
      </c>
      <c r="B74" s="1" t="s">
        <v>347</v>
      </c>
      <c r="C74" s="1">
        <v>8</v>
      </c>
      <c r="D74" s="1">
        <v>10</v>
      </c>
      <c r="E74" s="3" t="s">
        <v>472</v>
      </c>
    </row>
    <row r="75" ht="15.6" spans="1:5">
      <c r="A75" s="1" t="s">
        <v>334</v>
      </c>
      <c r="B75" s="1" t="s">
        <v>359</v>
      </c>
      <c r="C75" s="1">
        <v>10</v>
      </c>
      <c r="D75" s="1">
        <v>12</v>
      </c>
      <c r="E75" s="3">
        <v>4</v>
      </c>
    </row>
    <row r="76" ht="15.6" spans="1:5">
      <c r="A76" s="1" t="s">
        <v>334</v>
      </c>
      <c r="B76" s="1" t="s">
        <v>370</v>
      </c>
      <c r="C76" s="1">
        <v>12</v>
      </c>
      <c r="D76" s="1">
        <v>13.5</v>
      </c>
      <c r="E76" s="3">
        <v>5</v>
      </c>
    </row>
    <row r="77" ht="15.6" spans="1:5">
      <c r="A77" s="1" t="s">
        <v>334</v>
      </c>
      <c r="B77" s="1" t="s">
        <v>381</v>
      </c>
      <c r="C77" s="1">
        <v>14.1</v>
      </c>
      <c r="D77" s="1">
        <v>16</v>
      </c>
      <c r="E77" s="3">
        <v>6</v>
      </c>
    </row>
    <row r="78" ht="15.6" spans="1:5">
      <c r="A78" s="1" t="s">
        <v>334</v>
      </c>
      <c r="B78" s="1" t="s">
        <v>391</v>
      </c>
      <c r="C78" s="1">
        <v>16</v>
      </c>
      <c r="D78" s="1">
        <v>18.5</v>
      </c>
      <c r="E78" s="3" t="s">
        <v>455</v>
      </c>
    </row>
    <row r="79" ht="15.6" spans="1:5">
      <c r="A79" s="1" t="s">
        <v>334</v>
      </c>
      <c r="B79" s="1" t="s">
        <v>400</v>
      </c>
      <c r="C79" s="1">
        <v>18</v>
      </c>
      <c r="D79" s="1">
        <v>20</v>
      </c>
      <c r="E79" s="3">
        <v>7</v>
      </c>
    </row>
    <row r="80" ht="15.6" spans="1:5">
      <c r="A80" s="1" t="s">
        <v>334</v>
      </c>
      <c r="B80" s="1" t="s">
        <v>474</v>
      </c>
      <c r="C80" s="1">
        <v>8</v>
      </c>
      <c r="D80" s="1">
        <v>10</v>
      </c>
      <c r="E80" s="3" t="s">
        <v>472</v>
      </c>
    </row>
    <row r="81" ht="15.6" spans="1:5">
      <c r="A81" s="1" t="s">
        <v>334</v>
      </c>
      <c r="B81" s="1" t="s">
        <v>409</v>
      </c>
      <c r="C81" s="1">
        <v>10</v>
      </c>
      <c r="D81" s="1">
        <v>12</v>
      </c>
      <c r="E81" s="3">
        <v>4</v>
      </c>
    </row>
    <row r="82" ht="15.6" spans="1:5">
      <c r="A82" s="1" t="s">
        <v>334</v>
      </c>
      <c r="B82" s="1" t="s">
        <v>475</v>
      </c>
      <c r="C82" s="1">
        <v>12</v>
      </c>
      <c r="D82" s="1">
        <v>14</v>
      </c>
      <c r="E82" s="3">
        <v>5</v>
      </c>
    </row>
    <row r="83" ht="15.6" spans="1:5">
      <c r="A83" s="1" t="s">
        <v>334</v>
      </c>
      <c r="B83" s="1" t="s">
        <v>476</v>
      </c>
      <c r="C83" s="1">
        <v>14.1</v>
      </c>
      <c r="D83" s="1">
        <v>16</v>
      </c>
      <c r="E83" s="3">
        <v>6</v>
      </c>
    </row>
    <row r="84" ht="15.6" spans="1:5">
      <c r="A84" s="1" t="s">
        <v>334</v>
      </c>
      <c r="B84" s="1" t="s">
        <v>418</v>
      </c>
      <c r="C84" s="1">
        <v>16</v>
      </c>
      <c r="D84" s="1">
        <v>18.5</v>
      </c>
      <c r="E84" s="3" t="s">
        <v>455</v>
      </c>
    </row>
    <row r="85" ht="15.6" spans="1:5">
      <c r="A85" s="1" t="s">
        <v>334</v>
      </c>
      <c r="B85" s="1" t="s">
        <v>419</v>
      </c>
      <c r="C85" s="1">
        <v>18</v>
      </c>
      <c r="D85" s="1">
        <v>20</v>
      </c>
      <c r="E85" s="3">
        <v>7</v>
      </c>
    </row>
    <row r="86" ht="15.6" spans="1:5">
      <c r="A86" s="1" t="s">
        <v>334</v>
      </c>
      <c r="B86" s="1" t="s">
        <v>475</v>
      </c>
      <c r="C86" s="1">
        <v>12</v>
      </c>
      <c r="D86" s="1">
        <v>14</v>
      </c>
      <c r="E86" s="3">
        <v>5</v>
      </c>
    </row>
    <row r="87" ht="15.6" spans="1:5">
      <c r="A87" s="1" t="s">
        <v>334</v>
      </c>
      <c r="B87" s="1" t="s">
        <v>418</v>
      </c>
      <c r="C87" s="1">
        <v>16</v>
      </c>
      <c r="D87" s="1">
        <v>18.5</v>
      </c>
      <c r="E87" s="3" t="s">
        <v>455</v>
      </c>
    </row>
    <row r="88" ht="15.6" spans="1:5">
      <c r="A88" s="1" t="s">
        <v>334</v>
      </c>
      <c r="B88" s="1" t="s">
        <v>477</v>
      </c>
      <c r="C88" s="1">
        <v>18</v>
      </c>
      <c r="D88" s="1">
        <v>20</v>
      </c>
      <c r="E88" s="3">
        <v>7</v>
      </c>
    </row>
    <row r="89" ht="15.6" spans="1:5">
      <c r="A89" s="2" t="s">
        <v>478</v>
      </c>
      <c r="B89" s="1" t="s">
        <v>479</v>
      </c>
      <c r="C89" s="1">
        <v>12</v>
      </c>
      <c r="D89" s="1">
        <v>14</v>
      </c>
      <c r="E89" s="3">
        <v>5</v>
      </c>
    </row>
    <row r="90" ht="15.6" spans="1:5">
      <c r="A90" s="2" t="s">
        <v>478</v>
      </c>
      <c r="B90" s="1" t="s">
        <v>480</v>
      </c>
      <c r="C90" s="1">
        <v>14</v>
      </c>
      <c r="D90" s="1">
        <v>16</v>
      </c>
      <c r="E90" s="3">
        <v>6</v>
      </c>
    </row>
    <row r="91" ht="15.6" spans="1:5">
      <c r="A91" s="2" t="s">
        <v>478</v>
      </c>
      <c r="B91" s="1" t="s">
        <v>481</v>
      </c>
      <c r="C91" s="1">
        <v>16</v>
      </c>
      <c r="D91" s="1">
        <v>18.5</v>
      </c>
      <c r="E91" s="3" t="s">
        <v>455</v>
      </c>
    </row>
    <row r="92" ht="15.6" spans="1:5">
      <c r="A92" s="2" t="s">
        <v>478</v>
      </c>
      <c r="B92" s="1" t="s">
        <v>482</v>
      </c>
      <c r="C92" s="1">
        <v>18</v>
      </c>
      <c r="D92" s="1">
        <v>20</v>
      </c>
      <c r="E92" s="3">
        <v>7</v>
      </c>
    </row>
    <row r="93" ht="15.6" spans="1:5">
      <c r="A93" s="2" t="s">
        <v>478</v>
      </c>
      <c r="B93" s="2" t="s">
        <v>483</v>
      </c>
      <c r="C93" s="1">
        <v>20</v>
      </c>
      <c r="D93" s="1">
        <v>22.4</v>
      </c>
      <c r="E93" s="3" t="s">
        <v>458</v>
      </c>
    </row>
    <row r="94" ht="15.6" spans="1:5">
      <c r="A94" s="2" t="s">
        <v>478</v>
      </c>
      <c r="B94" s="2" t="s">
        <v>484</v>
      </c>
      <c r="C94" s="1">
        <v>22.4</v>
      </c>
      <c r="D94" s="1">
        <v>25</v>
      </c>
      <c r="E94" s="3">
        <v>8</v>
      </c>
    </row>
    <row r="95" ht="15.6" spans="1:5">
      <c r="A95" s="2" t="s">
        <v>485</v>
      </c>
      <c r="B95" s="1" t="s">
        <v>486</v>
      </c>
      <c r="C95" s="1">
        <v>12</v>
      </c>
      <c r="D95" s="1">
        <v>14</v>
      </c>
      <c r="E95" s="3">
        <v>5</v>
      </c>
    </row>
    <row r="96" ht="15.6" spans="1:5">
      <c r="A96" s="2" t="s">
        <v>485</v>
      </c>
      <c r="B96" s="1" t="s">
        <v>487</v>
      </c>
      <c r="C96" s="1">
        <v>14</v>
      </c>
      <c r="D96" s="1">
        <v>16</v>
      </c>
      <c r="E96" s="3">
        <v>6</v>
      </c>
    </row>
    <row r="97" ht="15.6" spans="1:5">
      <c r="A97" s="2" t="s">
        <v>485</v>
      </c>
      <c r="B97" s="1" t="s">
        <v>488</v>
      </c>
      <c r="C97" s="1">
        <v>16</v>
      </c>
      <c r="D97" s="1">
        <v>18.5</v>
      </c>
      <c r="E97" s="3" t="s">
        <v>455</v>
      </c>
    </row>
    <row r="98" ht="15.6" spans="1:5">
      <c r="A98" s="2" t="s">
        <v>485</v>
      </c>
      <c r="B98" s="1" t="s">
        <v>489</v>
      </c>
      <c r="C98" s="1">
        <v>18</v>
      </c>
      <c r="D98" s="1">
        <v>20</v>
      </c>
      <c r="E98" s="3">
        <v>7</v>
      </c>
    </row>
    <row r="99" ht="15.6" spans="1:5">
      <c r="A99" s="2" t="s">
        <v>336</v>
      </c>
      <c r="B99" s="1" t="s">
        <v>349</v>
      </c>
      <c r="C99" s="1">
        <v>10</v>
      </c>
      <c r="D99" s="1">
        <v>12</v>
      </c>
      <c r="E99" s="3">
        <v>4</v>
      </c>
    </row>
    <row r="100" ht="15.6" spans="1:5">
      <c r="A100" s="2" t="s">
        <v>336</v>
      </c>
      <c r="B100" s="1" t="s">
        <v>361</v>
      </c>
      <c r="C100" s="1">
        <v>12</v>
      </c>
      <c r="D100" s="1">
        <v>14</v>
      </c>
      <c r="E100" s="3">
        <v>5</v>
      </c>
    </row>
    <row r="101" ht="15.6" spans="1:5">
      <c r="A101" s="2" t="s">
        <v>336</v>
      </c>
      <c r="B101" s="1" t="s">
        <v>372</v>
      </c>
      <c r="C101" s="1">
        <v>14.1</v>
      </c>
      <c r="D101" s="1">
        <v>16</v>
      </c>
      <c r="E101" s="3">
        <v>6</v>
      </c>
    </row>
    <row r="102" ht="15.6" spans="1:5">
      <c r="A102" s="2" t="s">
        <v>336</v>
      </c>
      <c r="B102" s="1" t="s">
        <v>383</v>
      </c>
      <c r="C102" s="1">
        <v>14.1</v>
      </c>
      <c r="D102" s="1">
        <v>16</v>
      </c>
      <c r="E102" s="3">
        <v>6</v>
      </c>
    </row>
    <row r="103" ht="15.6" spans="1:5">
      <c r="A103" s="2" t="s">
        <v>336</v>
      </c>
      <c r="B103" s="1" t="s">
        <v>393</v>
      </c>
      <c r="C103" s="1">
        <v>16</v>
      </c>
      <c r="D103" s="1">
        <v>18.5</v>
      </c>
      <c r="E103" s="3" t="s">
        <v>455</v>
      </c>
    </row>
    <row r="104" ht="15.6" spans="1:5">
      <c r="A104" s="2" t="s">
        <v>336</v>
      </c>
      <c r="B104" s="1" t="s">
        <v>402</v>
      </c>
      <c r="C104" s="1">
        <v>18</v>
      </c>
      <c r="D104" s="1">
        <v>20</v>
      </c>
      <c r="E104" s="3">
        <v>7</v>
      </c>
    </row>
    <row r="105" ht="15.6" spans="1:5">
      <c r="A105" s="2" t="s">
        <v>327</v>
      </c>
      <c r="B105" s="1" t="s">
        <v>341</v>
      </c>
      <c r="C105" s="1">
        <v>12</v>
      </c>
      <c r="D105" s="1">
        <v>14.5</v>
      </c>
      <c r="E105" s="3">
        <v>5</v>
      </c>
    </row>
    <row r="106" ht="15.6" spans="1:5">
      <c r="A106" s="2" t="s">
        <v>327</v>
      </c>
      <c r="B106" s="1" t="s">
        <v>353</v>
      </c>
      <c r="C106" s="1">
        <v>14</v>
      </c>
      <c r="D106" s="1">
        <v>16.5</v>
      </c>
      <c r="E106" s="3">
        <v>6</v>
      </c>
    </row>
    <row r="107" ht="15.6" spans="1:5">
      <c r="A107" s="2" t="s">
        <v>327</v>
      </c>
      <c r="B107" s="1" t="s">
        <v>365</v>
      </c>
      <c r="C107" s="1">
        <v>16</v>
      </c>
      <c r="D107" s="1">
        <v>19</v>
      </c>
      <c r="E107" s="3" t="s">
        <v>455</v>
      </c>
    </row>
    <row r="108" ht="15.6" spans="1:5">
      <c r="A108" s="2" t="s">
        <v>327</v>
      </c>
      <c r="B108" s="1" t="s">
        <v>376</v>
      </c>
      <c r="C108" s="1">
        <v>18</v>
      </c>
      <c r="D108" s="1">
        <v>20.5</v>
      </c>
      <c r="E108" s="3">
        <v>7</v>
      </c>
    </row>
    <row r="109" ht="15.6" spans="1:5">
      <c r="A109" s="2" t="s">
        <v>327</v>
      </c>
      <c r="B109" s="2" t="s">
        <v>387</v>
      </c>
      <c r="C109" s="1">
        <v>20</v>
      </c>
      <c r="D109" s="1">
        <v>22.9</v>
      </c>
      <c r="E109" s="3" t="s">
        <v>458</v>
      </c>
    </row>
    <row r="110" ht="15.6" spans="1:5">
      <c r="A110" s="2" t="s">
        <v>327</v>
      </c>
      <c r="B110" s="2" t="s">
        <v>396</v>
      </c>
      <c r="C110" s="1">
        <v>22.4</v>
      </c>
      <c r="D110" s="1">
        <v>25.5</v>
      </c>
      <c r="E110" s="3">
        <v>8</v>
      </c>
    </row>
    <row r="111" ht="15.6" spans="1:5">
      <c r="A111" s="2" t="s">
        <v>328</v>
      </c>
      <c r="B111" s="1" t="s">
        <v>341</v>
      </c>
      <c r="C111" s="1">
        <v>12</v>
      </c>
      <c r="D111" s="1">
        <v>14.5</v>
      </c>
      <c r="E111" s="3">
        <v>5</v>
      </c>
    </row>
    <row r="112" ht="15.6" spans="1:5">
      <c r="A112" s="2" t="s">
        <v>328</v>
      </c>
      <c r="B112" s="1" t="s">
        <v>353</v>
      </c>
      <c r="C112" s="1">
        <v>14</v>
      </c>
      <c r="D112" s="1">
        <v>16.5</v>
      </c>
      <c r="E112" s="3">
        <v>6</v>
      </c>
    </row>
    <row r="113" ht="15.6" spans="1:5">
      <c r="A113" s="2" t="s">
        <v>328</v>
      </c>
      <c r="B113" s="1" t="s">
        <v>365</v>
      </c>
      <c r="C113" s="1">
        <v>16</v>
      </c>
      <c r="D113" s="1">
        <v>19</v>
      </c>
      <c r="E113" s="3" t="s">
        <v>455</v>
      </c>
    </row>
    <row r="114" ht="15.6" spans="1:5">
      <c r="A114" s="2" t="s">
        <v>328</v>
      </c>
      <c r="B114" s="1" t="s">
        <v>376</v>
      </c>
      <c r="C114" s="1">
        <v>18</v>
      </c>
      <c r="D114" s="1">
        <v>20.5</v>
      </c>
      <c r="E114" s="3">
        <v>7</v>
      </c>
    </row>
    <row r="115" ht="15.6" spans="1:5">
      <c r="A115" s="2" t="s">
        <v>328</v>
      </c>
      <c r="B115" s="2" t="s">
        <v>387</v>
      </c>
      <c r="C115" s="1">
        <v>20</v>
      </c>
      <c r="D115" s="1">
        <v>22.9</v>
      </c>
      <c r="E115" s="3" t="s">
        <v>458</v>
      </c>
    </row>
    <row r="116" ht="15.6" spans="1:5">
      <c r="A116" s="2" t="s">
        <v>328</v>
      </c>
      <c r="B116" s="2" t="s">
        <v>396</v>
      </c>
      <c r="C116" s="1">
        <v>22.4</v>
      </c>
      <c r="D116" s="1">
        <v>25.5</v>
      </c>
      <c r="E116" s="3">
        <v>8</v>
      </c>
    </row>
    <row r="117" ht="15.6" spans="1:5">
      <c r="A117" s="2" t="s">
        <v>338</v>
      </c>
      <c r="B117" s="2" t="s">
        <v>351</v>
      </c>
      <c r="C117" s="1">
        <v>8</v>
      </c>
      <c r="D117" s="1">
        <v>9</v>
      </c>
      <c r="E117" s="3" t="s">
        <v>472</v>
      </c>
    </row>
    <row r="118" ht="15.6" spans="1:5">
      <c r="A118" s="2" t="s">
        <v>338</v>
      </c>
      <c r="B118" s="2" t="s">
        <v>363</v>
      </c>
      <c r="C118" s="1">
        <v>10</v>
      </c>
      <c r="D118" s="1">
        <v>12</v>
      </c>
      <c r="E118" s="3">
        <v>4</v>
      </c>
    </row>
    <row r="119" ht="15.6" spans="1:5">
      <c r="A119" s="2" t="s">
        <v>338</v>
      </c>
      <c r="B119" s="2" t="s">
        <v>374</v>
      </c>
      <c r="C119" s="1">
        <v>12</v>
      </c>
      <c r="D119" s="1">
        <v>13.5</v>
      </c>
      <c r="E119" s="3">
        <v>5</v>
      </c>
    </row>
    <row r="120" ht="15.6" spans="1:5">
      <c r="A120" s="2" t="s">
        <v>338</v>
      </c>
      <c r="B120" s="2" t="s">
        <v>385</v>
      </c>
      <c r="C120" s="1">
        <v>14.1</v>
      </c>
      <c r="D120" s="1">
        <v>16</v>
      </c>
      <c r="E120" s="3">
        <v>6</v>
      </c>
    </row>
    <row r="121" ht="15.6" spans="1:5">
      <c r="A121" s="2" t="s">
        <v>338</v>
      </c>
      <c r="B121" s="2" t="s">
        <v>394</v>
      </c>
      <c r="C121" s="1">
        <v>16</v>
      </c>
      <c r="D121" s="1">
        <v>18</v>
      </c>
      <c r="E121" s="3" t="s">
        <v>455</v>
      </c>
    </row>
    <row r="122" ht="15.6" spans="1:5">
      <c r="A122" s="2" t="s">
        <v>338</v>
      </c>
      <c r="B122" s="2" t="s">
        <v>403</v>
      </c>
      <c r="C122" s="1">
        <v>18</v>
      </c>
      <c r="D122" s="1">
        <v>20</v>
      </c>
      <c r="E122" s="3">
        <v>7</v>
      </c>
    </row>
    <row r="123" ht="15.6" spans="1:5">
      <c r="A123" s="2" t="s">
        <v>339</v>
      </c>
      <c r="B123" s="1" t="s">
        <v>352</v>
      </c>
      <c r="C123" s="1">
        <v>12</v>
      </c>
      <c r="D123" s="1">
        <v>14.5</v>
      </c>
      <c r="E123" s="3">
        <v>5</v>
      </c>
    </row>
    <row r="124" ht="15.6" spans="1:5">
      <c r="A124" s="2" t="s">
        <v>339</v>
      </c>
      <c r="B124" s="1" t="s">
        <v>364</v>
      </c>
      <c r="C124" s="1">
        <v>14</v>
      </c>
      <c r="D124" s="1">
        <v>16.5</v>
      </c>
      <c r="E124" s="3">
        <v>6</v>
      </c>
    </row>
    <row r="125" ht="15.6" spans="1:5">
      <c r="A125" s="2" t="s">
        <v>339</v>
      </c>
      <c r="B125" s="1" t="s">
        <v>375</v>
      </c>
      <c r="C125" s="1">
        <v>16</v>
      </c>
      <c r="D125" s="1">
        <v>19</v>
      </c>
      <c r="E125" s="3" t="s">
        <v>455</v>
      </c>
    </row>
    <row r="126" ht="15.6" spans="1:5">
      <c r="A126" s="2" t="s">
        <v>339</v>
      </c>
      <c r="B126" s="1" t="s">
        <v>386</v>
      </c>
      <c r="C126" s="1">
        <v>18</v>
      </c>
      <c r="D126" s="1">
        <v>20.5</v>
      </c>
      <c r="E126" s="3">
        <v>7</v>
      </c>
    </row>
    <row r="127" ht="15.6" spans="1:5">
      <c r="A127" s="2" t="s">
        <v>339</v>
      </c>
      <c r="B127" s="1" t="s">
        <v>490</v>
      </c>
      <c r="C127" s="1">
        <v>20</v>
      </c>
      <c r="D127" s="1">
        <v>22.9</v>
      </c>
      <c r="E127" s="3" t="s">
        <v>458</v>
      </c>
    </row>
    <row r="128" ht="15.6" spans="1:5">
      <c r="A128" s="2" t="s">
        <v>120</v>
      </c>
      <c r="B128" s="1" t="s">
        <v>121</v>
      </c>
      <c r="C128" s="1">
        <v>12</v>
      </c>
      <c r="D128" s="1">
        <v>14.5</v>
      </c>
      <c r="E128" s="3">
        <v>5</v>
      </c>
    </row>
    <row r="129" ht="15.6" spans="1:5">
      <c r="A129" s="2" t="s">
        <v>120</v>
      </c>
      <c r="B129" s="1" t="s">
        <v>122</v>
      </c>
      <c r="C129" s="1">
        <v>14</v>
      </c>
      <c r="D129" s="1">
        <v>16.5</v>
      </c>
      <c r="E129" s="3">
        <v>6</v>
      </c>
    </row>
    <row r="130" ht="15.6" spans="1:5">
      <c r="A130" s="2" t="s">
        <v>120</v>
      </c>
      <c r="B130" s="1" t="s">
        <v>123</v>
      </c>
      <c r="C130" s="1">
        <v>16</v>
      </c>
      <c r="D130" s="1">
        <v>18.5</v>
      </c>
      <c r="E130" s="3" t="s">
        <v>455</v>
      </c>
    </row>
    <row r="131" ht="15.6" spans="1:5">
      <c r="A131" s="2" t="s">
        <v>120</v>
      </c>
      <c r="B131" s="1" t="s">
        <v>124</v>
      </c>
      <c r="C131" s="1">
        <v>18</v>
      </c>
      <c r="D131" s="1">
        <v>20</v>
      </c>
      <c r="E131" s="3">
        <v>7</v>
      </c>
    </row>
    <row r="132" ht="15.6" spans="1:5">
      <c r="A132" s="2" t="s">
        <v>491</v>
      </c>
      <c r="B132" s="1" t="s">
        <v>348</v>
      </c>
      <c r="C132" s="1">
        <v>12</v>
      </c>
      <c r="D132" s="1">
        <v>14.5</v>
      </c>
      <c r="E132" s="3">
        <v>5</v>
      </c>
    </row>
    <row r="133" ht="15.6" spans="1:5">
      <c r="A133" s="2" t="s">
        <v>491</v>
      </c>
      <c r="B133" s="1" t="s">
        <v>360</v>
      </c>
      <c r="C133" s="1">
        <v>14</v>
      </c>
      <c r="D133" s="1">
        <v>16.5</v>
      </c>
      <c r="E133" s="3">
        <v>6</v>
      </c>
    </row>
    <row r="134" ht="15.6" spans="1:5">
      <c r="A134" s="2" t="s">
        <v>491</v>
      </c>
      <c r="B134" s="1" t="s">
        <v>371</v>
      </c>
      <c r="C134" s="1">
        <v>16</v>
      </c>
      <c r="D134" s="1">
        <v>19</v>
      </c>
      <c r="E134" s="3" t="s">
        <v>455</v>
      </c>
    </row>
    <row r="135" ht="15.6" spans="1:5">
      <c r="A135" s="2" t="s">
        <v>491</v>
      </c>
      <c r="B135" s="1" t="s">
        <v>382</v>
      </c>
      <c r="C135" s="1">
        <v>18</v>
      </c>
      <c r="D135" s="1">
        <v>20.5</v>
      </c>
      <c r="E135" s="3">
        <v>7</v>
      </c>
    </row>
    <row r="136" ht="15.6" spans="1:5">
      <c r="A136" s="2" t="s">
        <v>491</v>
      </c>
      <c r="B136" s="1" t="s">
        <v>392</v>
      </c>
      <c r="C136" s="1">
        <v>20</v>
      </c>
      <c r="D136" s="1">
        <v>22.9</v>
      </c>
      <c r="E136" s="3" t="s">
        <v>458</v>
      </c>
    </row>
    <row r="137" ht="15.6" spans="1:5">
      <c r="A137" s="2" t="s">
        <v>491</v>
      </c>
      <c r="B137" s="1" t="s">
        <v>401</v>
      </c>
      <c r="C137" s="1">
        <v>22.4</v>
      </c>
      <c r="D137" s="1">
        <v>25.5</v>
      </c>
      <c r="E137" s="3">
        <v>8</v>
      </c>
    </row>
  </sheetData>
  <autoFilter xmlns:etc="http://www.wps.cn/officeDocument/2017/etCustomData" ref="A1:I137" etc:filterBottomFollowUsedRange="0">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空调配置选型表</vt:lpstr>
      <vt:lpstr>新风设备表</vt:lpstr>
      <vt:lpstr>名称管理器</vt:lpstr>
      <vt:lpstr>室内机清单</vt:lpstr>
      <vt:lpstr>室外机清单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YOUPENG CHEN 陈有鹏</dc:creator>
  <cp:lastModifiedBy>我前度是极品</cp:lastModifiedBy>
  <dcterms:created xsi:type="dcterms:W3CDTF">2015-06-05T18:19:00Z</dcterms:created>
  <cp:lastPrinted>2023-07-25T02:50:00Z</cp:lastPrinted>
  <dcterms:modified xsi:type="dcterms:W3CDTF">2026-04-27T09:11:33Z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EB6B387434DB4D1A89FCBD6AB3DD3F3E_13</vt:lpwstr>
  </property>
  <property fmtid="{D5CDD505-2E9C-101B-9397-08002B2CF9AE}" pid="3" name="KSOProductBuildVer">
    <vt:lpwstr>2052-12.1.0.25865</vt:lpwstr>
  </property>
  <property fmtid="{D5CDD505-2E9C-101B-9397-08002B2CF9AE}" pid="4" name="CalculationRule">
    <vt:i4>0</vt:i4>
  </property>
</Properties>
</file>